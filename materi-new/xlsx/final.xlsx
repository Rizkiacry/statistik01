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d89\AC\Temp\"/>
    </mc:Choice>
  </mc:AlternateContent>
  <xr:revisionPtr revIDLastSave="0" documentId="8_{422BA8B6-8A92-B64E-96B9-51E2A834E666}" xr6:coauthVersionLast="47" xr6:coauthVersionMax="47" xr10:uidLastSave="{00000000-0000-0000-0000-000000000000}"/>
  <bookViews>
    <workbookView xWindow="-60" yWindow="-60" windowWidth="15480" windowHeight="11640" xr2:uid="{F32171FD-3809-4AB4-9E2C-4A1508589284}"/>
  </bookViews>
  <sheets>
    <sheet name="in" sheetId="1" r:id="rId1"/>
    <sheet name="Sheet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" i="1" l="1" a="1"/>
  <c r="C64" i="1"/>
  <c r="D64" i="1"/>
  <c r="D38" i="1" a="1"/>
  <c r="D38" i="1"/>
  <c r="E64" i="1"/>
  <c r="D65" i="1"/>
  <c r="E65" i="1"/>
  <c r="D66" i="1"/>
  <c r="E66" i="1"/>
  <c r="D67" i="1"/>
  <c r="E67" i="1"/>
  <c r="D70" i="1"/>
  <c r="E70" i="1"/>
  <c r="D69" i="1"/>
  <c r="E69" i="1"/>
  <c r="D68" i="1"/>
  <c r="E68" i="1"/>
  <c r="E71" i="1"/>
  <c r="E45" i="1"/>
  <c r="E76" i="1"/>
  <c r="E78" i="1"/>
  <c r="D128" i="1"/>
  <c r="E128" i="1"/>
  <c r="D163" i="1"/>
  <c r="E163" i="1"/>
  <c r="D129" i="1"/>
  <c r="E129" i="1"/>
  <c r="D164" i="1"/>
  <c r="E164" i="1"/>
  <c r="D130" i="1"/>
  <c r="E130" i="1"/>
  <c r="D165" i="1"/>
  <c r="E165" i="1"/>
  <c r="D131" i="1"/>
  <c r="E131" i="1"/>
  <c r="D166" i="1"/>
  <c r="E166" i="1"/>
  <c r="D134" i="1"/>
  <c r="E134" i="1"/>
  <c r="D169" i="1"/>
  <c r="E169" i="1"/>
  <c r="D133" i="1"/>
  <c r="E133" i="1"/>
  <c r="D168" i="1"/>
  <c r="E168" i="1"/>
  <c r="D132" i="1"/>
  <c r="E132" i="1"/>
  <c r="D167" i="1"/>
  <c r="E167" i="1"/>
  <c r="E170" i="1"/>
  <c r="E172" i="1"/>
  <c r="F172" i="1" a="1"/>
  <c r="F172" i="1"/>
  <c r="D145" i="1"/>
  <c r="E145" i="1"/>
  <c r="D146" i="1"/>
  <c r="E146" i="1"/>
  <c r="D147" i="1"/>
  <c r="E147" i="1"/>
  <c r="D148" i="1"/>
  <c r="E148" i="1"/>
  <c r="D151" i="1"/>
  <c r="E151" i="1"/>
  <c r="D150" i="1"/>
  <c r="E150" i="1"/>
  <c r="D149" i="1"/>
  <c r="E149" i="1"/>
  <c r="E152" i="1"/>
  <c r="E157" i="1"/>
  <c r="E158" i="1"/>
  <c r="E173" i="1"/>
  <c r="E174" i="1"/>
  <c r="E175" i="1"/>
  <c r="C177" i="1" a="1"/>
  <c r="C177" i="1"/>
  <c r="D177" i="1"/>
  <c r="E177" i="1"/>
  <c r="F177" i="1" a="1"/>
  <c r="F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E154" i="1"/>
  <c r="F154" i="1" a="1"/>
  <c r="F154" i="1"/>
  <c r="E155" i="1"/>
  <c r="E136" i="1"/>
  <c r="E137" i="1"/>
  <c r="E138" i="1"/>
  <c r="E139" i="1"/>
  <c r="E142" i="1"/>
  <c r="E141" i="1"/>
  <c r="E140" i="1"/>
  <c r="E143" i="1"/>
  <c r="E156" i="1"/>
  <c r="E88" i="1"/>
  <c r="E89" i="1"/>
  <c r="E87" i="1"/>
  <c r="E91" i="1"/>
  <c r="E160" i="1"/>
  <c r="F160" i="1" a="1"/>
  <c r="F160" i="1"/>
  <c r="E80" i="1"/>
  <c r="D47" i="1"/>
  <c r="D48" i="1"/>
  <c r="D49" i="1"/>
  <c r="D50" i="1"/>
  <c r="C163" i="1" a="1"/>
  <c r="C163" i="1"/>
  <c r="F163" i="1" a="1"/>
  <c r="F163" i="1"/>
  <c r="C136" i="1" a="1"/>
  <c r="C136" i="1"/>
  <c r="F136" i="1" a="1"/>
  <c r="F136" i="1"/>
  <c r="C145" i="1" a="1"/>
  <c r="C145" i="1"/>
  <c r="F145" i="1" a="1"/>
  <c r="F145" i="1"/>
  <c r="C120" i="1" a="1"/>
  <c r="C120" i="1"/>
  <c r="D120" i="1"/>
  <c r="E120" i="1"/>
  <c r="F120" i="1" a="1"/>
  <c r="F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C128" i="1" a="1"/>
  <c r="C128" i="1"/>
  <c r="F128" i="1" a="1"/>
  <c r="F128" i="1"/>
  <c r="F102" i="1" a="1"/>
  <c r="F102" i="1"/>
  <c r="E103" i="1"/>
  <c r="E104" i="1"/>
  <c r="E108" i="1"/>
  <c r="F111" i="1" a="1"/>
  <c r="F111" i="1"/>
  <c r="E112" i="1"/>
  <c r="E113" i="1"/>
  <c r="E117" i="1"/>
  <c r="F87" i="1" a="1"/>
  <c r="F87" i="1"/>
  <c r="E90" i="1"/>
  <c r="F93" i="1" a="1"/>
  <c r="F93" i="1"/>
  <c r="E94" i="1"/>
  <c r="E95" i="1"/>
  <c r="E99" i="1"/>
  <c r="E55" i="1"/>
  <c r="E56" i="1"/>
  <c r="E57" i="1"/>
  <c r="E58" i="1"/>
  <c r="E61" i="1"/>
  <c r="E60" i="1"/>
  <c r="E59" i="1"/>
  <c r="E62" i="1"/>
  <c r="E73" i="1"/>
  <c r="F73" i="1" a="1"/>
  <c r="F73" i="1"/>
  <c r="E74" i="1"/>
  <c r="E75" i="1"/>
  <c r="E77" i="1"/>
  <c r="F80" i="1" a="1"/>
  <c r="F80" i="1"/>
  <c r="E84" i="1"/>
  <c r="C55" i="1" a="1"/>
  <c r="C55" i="1"/>
  <c r="D55" i="1"/>
  <c r="F55" i="1" a="1"/>
  <c r="F55" i="1"/>
  <c r="D56" i="1"/>
  <c r="D57" i="1"/>
  <c r="D58" i="1"/>
  <c r="D59" i="1"/>
  <c r="D60" i="1"/>
  <c r="D61" i="1"/>
  <c r="D62" i="1"/>
  <c r="F64" i="1" a="1"/>
  <c r="F64" i="1"/>
  <c r="F37" i="1"/>
  <c r="C38" i="1" a="1"/>
  <c r="C38" i="1"/>
  <c r="F38" i="1" a="1"/>
  <c r="F38" i="1"/>
  <c r="C47" i="1" a="1"/>
  <c r="C47" i="1"/>
  <c r="F47" i="1" a="1"/>
  <c r="F47" i="1"/>
  <c r="E23" i="1"/>
  <c r="F23" i="1" a="1"/>
  <c r="F23" i="1"/>
  <c r="E24" i="1"/>
  <c r="E25" i="1"/>
  <c r="E26" i="1"/>
  <c r="D27" i="1"/>
  <c r="E27" i="1"/>
  <c r="D28" i="1"/>
  <c r="E28" i="1"/>
  <c r="F29" i="1"/>
  <c r="C30" i="1" a="1"/>
  <c r="C30" i="1"/>
  <c r="D30" i="1"/>
  <c r="E30" i="1"/>
  <c r="F30" i="1" a="1"/>
  <c r="F30" i="1"/>
  <c r="D31" i="1"/>
  <c r="E31" i="1"/>
  <c r="D32" i="1"/>
  <c r="E32" i="1"/>
  <c r="D33" i="1"/>
  <c r="E33" i="1"/>
  <c r="D34" i="1"/>
  <c r="E34" i="1"/>
  <c r="D35" i="1"/>
  <c r="E35" i="1"/>
  <c r="D36" i="1"/>
  <c r="E36" i="1"/>
  <c r="D51" i="1"/>
  <c r="D52" i="1"/>
  <c r="D53" i="1"/>
  <c r="E82" i="1"/>
  <c r="E83" i="1"/>
  <c r="E81" i="1"/>
  <c r="E85" i="1"/>
  <c r="E161" i="1"/>
  <c r="E105" i="1"/>
  <c r="E106" i="1"/>
  <c r="E107" i="1"/>
  <c r="E109" i="1"/>
  <c r="E114" i="1"/>
  <c r="E115" i="1"/>
  <c r="E116" i="1"/>
  <c r="E118" i="1"/>
  <c r="E96" i="1"/>
  <c r="E97" i="1"/>
  <c r="E98" i="1"/>
  <c r="E100" i="1"/>
  <c r="E47" i="1"/>
  <c r="E48" i="1"/>
  <c r="E49" i="1"/>
  <c r="E50" i="1"/>
  <c r="E51" i="1"/>
  <c r="E52" i="1"/>
  <c r="E5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<sst xmlns="http://schemas.openxmlformats.org/spreadsheetml/2006/main" count="59" uniqueCount="42">
  <si>
    <t>n</t>
  </si>
  <si>
    <t>max</t>
  </si>
  <si>
    <t>min</t>
  </si>
  <si>
    <t>range</t>
  </si>
  <si>
    <t>k</t>
  </si>
  <si>
    <t>c</t>
  </si>
  <si>
    <t>SUM mi*fi</t>
  </si>
  <si>
    <t>SUM fi</t>
  </si>
  <si>
    <t>Xo</t>
  </si>
  <si>
    <t>MEAN U</t>
  </si>
  <si>
    <t>MEAN X</t>
  </si>
  <si>
    <t>kelas median</t>
  </si>
  <si>
    <t>tb</t>
  </si>
  <si>
    <t>fk*</t>
  </si>
  <si>
    <t>f median</t>
  </si>
  <si>
    <t>MEDIAN</t>
  </si>
  <si>
    <t>d1</t>
  </si>
  <si>
    <t>d2</t>
  </si>
  <si>
    <t>MODUS</t>
  </si>
  <si>
    <t>i</t>
  </si>
  <si>
    <t>tbi</t>
  </si>
  <si>
    <t>kelas kuartil i/position</t>
  </si>
  <si>
    <t>fk*i</t>
  </si>
  <si>
    <t>fQi</t>
  </si>
  <si>
    <t>Quartil i</t>
  </si>
  <si>
    <t>cara 1</t>
  </si>
  <si>
    <t>cara 2</t>
  </si>
  <si>
    <t>RS</t>
  </si>
  <si>
    <t>V</t>
  </si>
  <si>
    <t>S</t>
  </si>
  <si>
    <t>Desil i</t>
  </si>
  <si>
    <t>kelas desil i/position</t>
  </si>
  <si>
    <t>kelas persentil i/position</t>
  </si>
  <si>
    <t>Persentil i</t>
  </si>
  <si>
    <t>fPi</t>
  </si>
  <si>
    <t>fDi</t>
  </si>
  <si>
    <t>Mo</t>
  </si>
  <si>
    <t>Me</t>
  </si>
  <si>
    <t>M4</t>
  </si>
  <si>
    <t>S4</t>
  </si>
  <si>
    <t>Ukuran Kurtosis</t>
  </si>
  <si>
    <t>Tipe Kurtosis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</si>
</sst>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in!$D$177:$D$183</c:f>
              <c:strCache>
                <c:ptCount val="7"/>
                <c:pt idx="0">
                  <c:v>8.5-79.5</c:v>
                </c:pt>
                <c:pt idx="1">
                  <c:v>79.5-149.5</c:v>
                </c:pt>
                <c:pt idx="2">
                  <c:v>149.5-219.5</c:v>
                </c:pt>
                <c:pt idx="3">
                  <c:v>219.5-289.5</c:v>
                </c:pt>
                <c:pt idx="4">
                  <c:v>289.5-359.5</c:v>
                </c:pt>
                <c:pt idx="5">
                  <c:v>359.5-429.5</c:v>
                </c:pt>
                <c:pt idx="6">
                  <c:v>429.5-499.5</c:v>
                </c:pt>
              </c:strCache>
            </c:strRef>
          </c:cat>
          <c:val>
            <c:numRef>
              <c:f>in!$E$177:$E$183</c:f>
              <c:numCache>
                <c:formatCode>General</c:formatCode>
                <c:ptCount val="7"/>
                <c:pt idx="0">
                  <c:v>11</c:v>
                </c:pt>
                <c:pt idx="1">
                  <c:v>12</c:v>
                </c:pt>
                <c:pt idx="2">
                  <c:v>14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F5-ED42-81C0-35ADC95FE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11952960"/>
        <c:axId val="811954752"/>
      </c:barChart>
      <c:catAx>
        <c:axId val="81195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954752"/>
        <c:crosses val="autoZero"/>
        <c:auto val="1"/>
        <c:lblAlgn val="ctr"/>
        <c:lblOffset val="100"/>
        <c:noMultiLvlLbl val="0"/>
      </c:catAx>
      <c:valAx>
        <c:axId val="8119547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95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528511</xdr:colOff>
      <xdr:row>175</xdr:row>
      <xdr:rowOff>30465</xdr:rowOff>
    </xdr:from>
    <xdr:to>
      <xdr:col>10</xdr:col>
      <xdr:colOff>544910</xdr:colOff>
      <xdr:row>188</xdr:row>
      <xdr:rowOff>17930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02DC4A-9927-BC71-36CD-2374A576D7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D00D-9F44-4797-BB02-C4F4E811E19E}">
  <dimension ref="C2:G183"/>
  <sheetViews>
    <sheetView tabSelected="1" topLeftCell="A158" workbookViewId="0">
      <selection activeCell="A187" sqref="A187"/>
    </sheetView>
  </sheetViews>
  <sheetFormatPr defaultRowHeight="15" x14ac:dyDescent="0.2"/>
  <cols>
    <col min="4" max="4" width="11.97265625" bestFit="1" customWidth="1"/>
    <col min="5" max="5" width="12.77734375" bestFit="1" customWidth="1"/>
  </cols>
  <sheetData>
    <row r="2" spans="3:6" x14ac:dyDescent="0.2">
      <c r="C2">
        <v>245</v>
      </c>
      <c r="D2">
        <v>78</v>
      </c>
      <c r="E2">
        <v>391</v>
      </c>
      <c r="F2">
        <v>122</v>
      </c>
    </row>
    <row r="3" spans="3:6" x14ac:dyDescent="0.2">
      <c r="C3">
        <v>14</v>
      </c>
      <c r="D3">
        <v>466</v>
      </c>
      <c r="E3">
        <v>205</v>
      </c>
      <c r="F3">
        <v>311</v>
      </c>
    </row>
    <row r="4" spans="3:6" x14ac:dyDescent="0.2">
      <c r="C4">
        <v>132</v>
      </c>
      <c r="D4">
        <v>401</v>
      </c>
      <c r="E4">
        <v>88</v>
      </c>
      <c r="F4">
        <v>343</v>
      </c>
    </row>
    <row r="5" spans="3:6" x14ac:dyDescent="0.2">
      <c r="C5">
        <v>263</v>
      </c>
      <c r="D5">
        <v>197</v>
      </c>
      <c r="E5">
        <v>499</v>
      </c>
      <c r="F5">
        <v>66</v>
      </c>
    </row>
    <row r="6" spans="3:6" x14ac:dyDescent="0.2">
      <c r="C6">
        <v>329</v>
      </c>
      <c r="D6">
        <v>182</v>
      </c>
      <c r="E6">
        <v>470</v>
      </c>
      <c r="F6">
        <v>155</v>
      </c>
    </row>
    <row r="7" spans="3:6" x14ac:dyDescent="0.2">
      <c r="C7">
        <v>313</v>
      </c>
      <c r="D7">
        <v>295</v>
      </c>
      <c r="E7">
        <v>437</v>
      </c>
      <c r="F7">
        <v>96</v>
      </c>
    </row>
    <row r="8" spans="3:6" x14ac:dyDescent="0.2">
      <c r="C8">
        <v>384</v>
      </c>
      <c r="D8">
        <v>219</v>
      </c>
      <c r="E8">
        <v>305</v>
      </c>
      <c r="F8">
        <v>9</v>
      </c>
    </row>
    <row r="9" spans="3:6" x14ac:dyDescent="0.2">
      <c r="C9">
        <v>228</v>
      </c>
      <c r="D9">
        <v>361</v>
      </c>
      <c r="E9">
        <v>165</v>
      </c>
      <c r="F9">
        <v>252</v>
      </c>
    </row>
    <row r="10" spans="3:6" x14ac:dyDescent="0.2">
      <c r="C10">
        <v>174</v>
      </c>
      <c r="D10">
        <v>36</v>
      </c>
      <c r="E10">
        <v>445</v>
      </c>
      <c r="F10">
        <v>203</v>
      </c>
    </row>
    <row r="11" spans="3:6" x14ac:dyDescent="0.2">
      <c r="C11">
        <v>471</v>
      </c>
      <c r="D11">
        <v>51</v>
      </c>
      <c r="E11">
        <v>239</v>
      </c>
      <c r="F11">
        <v>317</v>
      </c>
    </row>
    <row r="12" spans="3:6" x14ac:dyDescent="0.2">
      <c r="C12">
        <v>119</v>
      </c>
      <c r="D12">
        <v>278</v>
      </c>
      <c r="E12">
        <v>384</v>
      </c>
      <c r="F12">
        <v>23</v>
      </c>
    </row>
    <row r="13" spans="3:6" x14ac:dyDescent="0.2">
      <c r="C13">
        <v>467</v>
      </c>
      <c r="D13">
        <v>188</v>
      </c>
      <c r="E13">
        <v>64</v>
      </c>
      <c r="F13">
        <v>294</v>
      </c>
    </row>
    <row r="14" spans="3:6" x14ac:dyDescent="0.2">
      <c r="C14">
        <v>250</v>
      </c>
      <c r="D14">
        <v>314</v>
      </c>
      <c r="E14">
        <v>112</v>
      </c>
      <c r="F14">
        <v>327</v>
      </c>
    </row>
    <row r="15" spans="3:6" x14ac:dyDescent="0.2">
      <c r="C15">
        <v>143</v>
      </c>
      <c r="D15">
        <v>406</v>
      </c>
      <c r="E15">
        <v>218</v>
      </c>
      <c r="F15">
        <v>83</v>
      </c>
    </row>
    <row r="16" spans="3:6" x14ac:dyDescent="0.2">
      <c r="C16">
        <v>190</v>
      </c>
      <c r="D16">
        <v>444</v>
      </c>
      <c r="E16">
        <v>351</v>
      </c>
      <c r="F16">
        <v>268</v>
      </c>
    </row>
    <row r="17" spans="3:7" x14ac:dyDescent="0.2">
      <c r="C17">
        <v>176</v>
      </c>
      <c r="D17">
        <v>486</v>
      </c>
      <c r="E17">
        <v>320</v>
      </c>
      <c r="F17">
        <v>45</v>
      </c>
    </row>
    <row r="18" spans="3:7" x14ac:dyDescent="0.2">
      <c r="C18">
        <v>91</v>
      </c>
      <c r="D18">
        <v>169</v>
      </c>
      <c r="E18">
        <v>122</v>
      </c>
      <c r="F18">
        <v>487</v>
      </c>
    </row>
    <row r="19" spans="3:7" x14ac:dyDescent="0.2">
      <c r="C19">
        <v>198</v>
      </c>
      <c r="D19">
        <v>33</v>
      </c>
      <c r="E19">
        <v>457</v>
      </c>
      <c r="F19">
        <v>248</v>
      </c>
    </row>
    <row r="20" spans="3:7" x14ac:dyDescent="0.2">
      <c r="C20">
        <v>74</v>
      </c>
      <c r="D20">
        <v>299</v>
      </c>
      <c r="E20">
        <v>134</v>
      </c>
      <c r="F20">
        <v>406</v>
      </c>
    </row>
    <row r="21" spans="3:7" x14ac:dyDescent="0.2">
      <c r="C21">
        <v>367</v>
      </c>
      <c r="D21">
        <v>105</v>
      </c>
      <c r="E21">
        <v>267</v>
      </c>
      <c r="F21">
        <v>378</v>
      </c>
    </row>
    <row r="23" spans="3:7" x14ac:dyDescent="0.2">
      <c r="C23" t="s">
        <v>0</v>
      </c>
      <c r="E23">
        <f>COUNT(C2:F21)</f>
        <v>80</v>
      </c>
      <c r="F23" t="str" cm="1">
        <f t="array" aca="1" ref="F23:G28" ca="1">_xlfn.IFNA(_xlfn.FORMULATEXT(D23:E28),"")</f>
        <v/>
      </c>
      <c r="G23" t="str">
        <f ca="1"/>
        <v>=COUNT(C2:F21)</v>
      </c>
    </row>
    <row r="24" spans="3:7" x14ac:dyDescent="0.2">
      <c r="C24" t="s">
        <v>1</v>
      </c>
      <c r="E24">
        <f>MAX(C2:F21)</f>
        <v>499</v>
      </c>
      <c r="F24" t="str">
        <f ca="1"/>
        <v/>
      </c>
      <c r="G24" t="str">
        <f ca="1"/>
        <v>=MAX(C2:F21)</v>
      </c>
    </row>
    <row r="25" spans="3:7" x14ac:dyDescent="0.2">
      <c r="C25" t="s">
        <v>2</v>
      </c>
      <c r="E25">
        <f>MIN(C2:F21)</f>
        <v>9</v>
      </c>
      <c r="F25" t="str">
        <f ca="1"/>
        <v/>
      </c>
      <c r="G25" t="str">
        <f ca="1"/>
        <v>=MIN(C2:F21)</v>
      </c>
    </row>
    <row r="26" spans="3:7" x14ac:dyDescent="0.2">
      <c r="C26" t="s">
        <v>3</v>
      </c>
      <c r="E26">
        <f>E24-E25</f>
        <v>490</v>
      </c>
      <c r="F26" t="str">
        <f ca="1"/>
        <v/>
      </c>
      <c r="G26" t="str">
        <f ca="1"/>
        <v>=E24-E25</v>
      </c>
    </row>
    <row r="27" spans="3:7" x14ac:dyDescent="0.2">
      <c r="C27" t="s">
        <v>4</v>
      </c>
      <c r="D27">
        <f>1+(3.3*LOG10(E23))</f>
        <v>7.2801969570734135</v>
      </c>
      <c r="E27">
        <f>ROUND(D27,0)</f>
        <v>7</v>
      </c>
      <c r="F27" t="str">
        <f ca="1"/>
        <v>=1+(3.3*LOG10(E23))</v>
      </c>
      <c r="G27" t="str">
        <f ca="1"/>
        <v>=ROUND(D27,0)</v>
      </c>
    </row>
    <row r="28" spans="3:7" x14ac:dyDescent="0.2">
      <c r="C28" t="s">
        <v>5</v>
      </c>
      <c r="D28">
        <f>E26/E27</f>
        <v>70</v>
      </c>
      <c r="E28">
        <f>ROUNDUP(D28,0)</f>
        <v>70</v>
      </c>
      <c r="F28" t="str">
        <f ca="1"/>
        <v>=E26/E27</v>
      </c>
      <c r="G28" t="str">
        <f ca="1"/>
        <v>=ROUNDUP(D28,0)</v>
      </c>
    </row>
    <row r="29" spans="3:7" x14ac:dyDescent="0.2">
      <c r="F29" t="str">
        <f t="shared" ref="F29:F37" ca="1" si="0">_xlfn.IFNA(_xlfn.FORMULATEXT(D29),"")</f>
        <v/>
      </c>
    </row>
    <row r="30" spans="3:7" x14ac:dyDescent="0.2">
      <c r="C30" cm="1">
        <f t="array" ref="C30:C36">_xlfn.SEQUENCE(7)</f>
        <v>1</v>
      </c>
      <c r="D30">
        <f>E25</f>
        <v>9</v>
      </c>
      <c r="E30">
        <f>D30+E$28</f>
        <v>79</v>
      </c>
      <c r="F30" t="str" cm="1">
        <f t="array" aca="1" ref="F30:G36" ca="1">_xlfn.IFNA(_xlfn.FORMULATEXT(D30:E36),"")</f>
        <v>=E25</v>
      </c>
      <c r="G30" t="str">
        <f ca="1"/>
        <v>=D30+E$28</v>
      </c>
    </row>
    <row r="31" spans="3:7" x14ac:dyDescent="0.2">
      <c r="C31">
        <v>2</v>
      </c>
      <c r="D31">
        <f>E30+1</f>
        <v>80</v>
      </c>
      <c r="E31">
        <f>D31+E$28-1</f>
        <v>149</v>
      </c>
      <c r="F31" t="str">
        <f ca="1"/>
        <v>=E30+1</v>
      </c>
      <c r="G31" t="str">
        <f ca="1"/>
        <v>=D31+E$28-1</v>
      </c>
    </row>
    <row r="32" spans="3:7" x14ac:dyDescent="0.2">
      <c r="C32">
        <v>3</v>
      </c>
      <c r="D32">
        <f t="shared" ref="D32:D36" si="1">E31+1</f>
        <v>150</v>
      </c>
      <c r="E32">
        <f t="shared" ref="E32:E36" si="2">D32+E$28-1</f>
        <v>219</v>
      </c>
      <c r="F32" t="str">
        <f ca="1"/>
        <v>=E31+1</v>
      </c>
      <c r="G32" t="str">
        <f ca="1"/>
        <v>=D32+E$28-1</v>
      </c>
    </row>
    <row r="33" spans="3:7" x14ac:dyDescent="0.2">
      <c r="C33">
        <v>4</v>
      </c>
      <c r="D33">
        <f t="shared" si="1"/>
        <v>220</v>
      </c>
      <c r="E33">
        <f t="shared" si="2"/>
        <v>289</v>
      </c>
      <c r="F33" t="str">
        <f ca="1"/>
        <v>=E32+1</v>
      </c>
      <c r="G33" t="str">
        <f ca="1"/>
        <v>=D33+E$28-1</v>
      </c>
    </row>
    <row r="34" spans="3:7" x14ac:dyDescent="0.2">
      <c r="C34">
        <v>5</v>
      </c>
      <c r="D34">
        <f t="shared" si="1"/>
        <v>290</v>
      </c>
      <c r="E34">
        <f t="shared" si="2"/>
        <v>359</v>
      </c>
      <c r="F34" t="str">
        <f ca="1"/>
        <v>=E33+1</v>
      </c>
      <c r="G34" t="str">
        <f ca="1"/>
        <v>=D34+E$28-1</v>
      </c>
    </row>
    <row r="35" spans="3:7" x14ac:dyDescent="0.2">
      <c r="C35">
        <v>6</v>
      </c>
      <c r="D35">
        <f t="shared" si="1"/>
        <v>360</v>
      </c>
      <c r="E35">
        <f t="shared" si="2"/>
        <v>429</v>
      </c>
      <c r="F35" t="str">
        <f ca="1"/>
        <v>=E34+1</v>
      </c>
      <c r="G35" t="str">
        <f ca="1"/>
        <v>=D35+E$28-1</v>
      </c>
    </row>
    <row r="36" spans="3:7" x14ac:dyDescent="0.2">
      <c r="C36">
        <v>7</v>
      </c>
      <c r="D36">
        <f t="shared" si="1"/>
        <v>430</v>
      </c>
      <c r="E36">
        <f t="shared" si="2"/>
        <v>499</v>
      </c>
      <c r="F36" t="str">
        <f ca="1"/>
        <v>=E35+1</v>
      </c>
      <c r="G36" t="str">
        <f ca="1"/>
        <v>=D36+E$28-1</v>
      </c>
    </row>
    <row r="37" spans="3:7" x14ac:dyDescent="0.2">
      <c r="F37" t="str">
        <f t="shared" ca="1" si="0"/>
        <v/>
      </c>
    </row>
    <row r="38" spans="3:7" x14ac:dyDescent="0.2">
      <c r="C38" cm="1">
        <f t="array" ref="C38:C44">_xlfn.SEQUENCE(7)</f>
        <v>1</v>
      </c>
      <c r="D38" cm="1">
        <f t="array" ref="D38:D45">FREQUENCY(C$2:F$21, E$30:E$36)</f>
        <v>11</v>
      </c>
      <c r="E38" s="1"/>
      <c r="F38" t="str" cm="1">
        <f t="array" aca="1" ref="F38:G45" ca="1">_xlfn.IFNA(_xlfn.FORMULATEXT(D38:E45),"")</f>
        <v>=FREQUENCY(C$2:F$21, E$30:E$36)</v>
      </c>
      <c r="G38" t="str">
        <f ca="1"/>
        <v/>
      </c>
    </row>
    <row r="39" spans="3:7" x14ac:dyDescent="0.2">
      <c r="C39">
        <v>2</v>
      </c>
      <c r="D39">
        <v>12</v>
      </c>
      <c r="E39" s="1"/>
      <c r="F39" t="str">
        <f ca="1"/>
        <v/>
      </c>
      <c r="G39" t="str">
        <f ca="1"/>
        <v/>
      </c>
    </row>
    <row r="40" spans="3:7" x14ac:dyDescent="0.2">
      <c r="C40">
        <v>3</v>
      </c>
      <c r="D40">
        <v>14</v>
      </c>
      <c r="E40" s="1"/>
      <c r="F40" t="str">
        <f ca="1"/>
        <v/>
      </c>
      <c r="G40" t="str">
        <f ca="1"/>
        <v/>
      </c>
    </row>
    <row r="41" spans="3:7" x14ac:dyDescent="0.2">
      <c r="C41">
        <v>4</v>
      </c>
      <c r="D41">
        <v>10</v>
      </c>
      <c r="E41" s="1"/>
      <c r="F41" t="str">
        <f ca="1"/>
        <v/>
      </c>
      <c r="G41" t="str">
        <f ca="1"/>
        <v/>
      </c>
    </row>
    <row r="42" spans="3:7" x14ac:dyDescent="0.2">
      <c r="C42">
        <v>5</v>
      </c>
      <c r="D42">
        <v>13</v>
      </c>
      <c r="E42" s="1"/>
      <c r="F42" t="str">
        <f ca="1"/>
        <v/>
      </c>
      <c r="G42" t="str">
        <f ca="1"/>
        <v/>
      </c>
    </row>
    <row r="43" spans="3:7" x14ac:dyDescent="0.2">
      <c r="C43">
        <v>6</v>
      </c>
      <c r="D43">
        <v>9</v>
      </c>
      <c r="E43" s="1"/>
      <c r="F43" t="str">
        <f ca="1"/>
        <v/>
      </c>
      <c r="G43" t="str">
        <f ca="1"/>
        <v/>
      </c>
    </row>
    <row r="44" spans="3:7" x14ac:dyDescent="0.2">
      <c r="C44">
        <v>7</v>
      </c>
      <c r="D44">
        <v>11</v>
      </c>
      <c r="E44" s="1"/>
      <c r="F44" t="str">
        <f ca="1"/>
        <v/>
      </c>
      <c r="G44" t="str">
        <f ca="1"/>
        <v/>
      </c>
    </row>
    <row r="45" spans="3:7" x14ac:dyDescent="0.2">
      <c r="D45">
        <v>0</v>
      </c>
      <c r="E45">
        <f>SUM(D38:D44)</f>
        <v>80</v>
      </c>
      <c r="F45" t="str">
        <f ca="1"/>
        <v/>
      </c>
      <c r="G45" t="str">
        <f ca="1"/>
        <v>=SUM(D38:D44)</v>
      </c>
    </row>
    <row r="47" spans="3:7" x14ac:dyDescent="0.2">
      <c r="C47" cm="1">
        <f t="array" ref="C47:C53">_xlfn.SEQUENCE(7)</f>
        <v>1</v>
      </c>
      <c r="D47">
        <f>N(D46)+D38</f>
        <v>11</v>
      </c>
      <c r="E47">
        <f>D53</f>
        <v>80</v>
      </c>
      <c r="F47" t="str" cm="1">
        <f t="array" aca="1" ref="F47:G53" ca="1">_xlfn.IFNA(_xlfn.FORMULATEXT(D47:E53),"")</f>
        <v>=N(D46)+D38</v>
      </c>
      <c r="G47" t="str">
        <f ca="1"/>
        <v>=D53</v>
      </c>
    </row>
    <row r="48" spans="3:7" x14ac:dyDescent="0.2">
      <c r="C48">
        <v>2</v>
      </c>
      <c r="D48">
        <f t="shared" ref="D48:D53" si="3">N(D47)+D39</f>
        <v>23</v>
      </c>
      <c r="E48">
        <f>E47-D38</f>
        <v>69</v>
      </c>
      <c r="F48" t="str">
        <f ca="1"/>
        <v>=N(D47)+D39</v>
      </c>
      <c r="G48" t="str">
        <f ca="1"/>
        <v>=E47-D38</v>
      </c>
    </row>
    <row r="49" spans="3:7" x14ac:dyDescent="0.2">
      <c r="C49">
        <v>3</v>
      </c>
      <c r="D49">
        <f t="shared" si="3"/>
        <v>37</v>
      </c>
      <c r="E49">
        <f t="shared" ref="E49:E53" si="4">E48-D39</f>
        <v>57</v>
      </c>
      <c r="F49" t="str">
        <f ca="1"/>
        <v>=N(D48)+D40</v>
      </c>
      <c r="G49" t="str">
        <f ca="1"/>
        <v>=E48-D39</v>
      </c>
    </row>
    <row r="50" spans="3:7" x14ac:dyDescent="0.2">
      <c r="C50">
        <v>4</v>
      </c>
      <c r="D50">
        <f t="shared" si="3"/>
        <v>47</v>
      </c>
      <c r="E50">
        <f t="shared" si="4"/>
        <v>43</v>
      </c>
      <c r="F50" t="str">
        <f ca="1"/>
        <v>=N(D49)+D41</v>
      </c>
      <c r="G50" t="str">
        <f ca="1"/>
        <v>=E49-D40</v>
      </c>
    </row>
    <row r="51" spans="3:7" x14ac:dyDescent="0.2">
      <c r="C51">
        <v>5</v>
      </c>
      <c r="D51">
        <f t="shared" si="3"/>
        <v>60</v>
      </c>
      <c r="E51">
        <f t="shared" si="4"/>
        <v>33</v>
      </c>
      <c r="F51" t="str">
        <f ca="1"/>
        <v>=N(D50)+D42</v>
      </c>
      <c r="G51" t="str">
        <f ca="1"/>
        <v>=E50-D41</v>
      </c>
    </row>
    <row r="52" spans="3:7" x14ac:dyDescent="0.2">
      <c r="C52">
        <v>6</v>
      </c>
      <c r="D52">
        <f t="shared" si="3"/>
        <v>69</v>
      </c>
      <c r="E52">
        <f t="shared" si="4"/>
        <v>20</v>
      </c>
      <c r="F52" t="str">
        <f ca="1"/>
        <v>=N(D51)+D43</v>
      </c>
      <c r="G52" t="str">
        <f ca="1"/>
        <v>=E51-D42</v>
      </c>
    </row>
    <row r="53" spans="3:7" x14ac:dyDescent="0.2">
      <c r="C53">
        <v>7</v>
      </c>
      <c r="D53">
        <f t="shared" si="3"/>
        <v>80</v>
      </c>
      <c r="E53">
        <f t="shared" si="4"/>
        <v>11</v>
      </c>
      <c r="F53" t="str">
        <f ca="1"/>
        <v>=N(D52)+D44</v>
      </c>
      <c r="G53" t="str">
        <f ca="1"/>
        <v>=E52-D43</v>
      </c>
    </row>
    <row r="55" spans="3:7" x14ac:dyDescent="0.2">
      <c r="C55" cm="1">
        <f t="array" ref="C55:C61">_xlfn.SEQUENCE(7)</f>
        <v>1</v>
      </c>
      <c r="D55">
        <f>1/2*(D30+E30)</f>
        <v>44</v>
      </c>
      <c r="E55">
        <f>D55*D38</f>
        <v>484</v>
      </c>
      <c r="F55" t="str" cm="1">
        <f t="array" aca="1" ref="F55:G63" ca="1">_xlfn.IFNA(_xlfn.FORMULATEXT(D55:E63),"")</f>
        <v>=1/2*(D30+E30)</v>
      </c>
      <c r="G55" t="str">
        <f ca="1"/>
        <v>=D55*D38</v>
      </c>
    </row>
    <row r="56" spans="3:7" x14ac:dyDescent="0.2">
      <c r="C56">
        <v>2</v>
      </c>
      <c r="D56">
        <f t="shared" ref="D56:D61" si="5">1/2*(D31+E31)</f>
        <v>114.5</v>
      </c>
      <c r="E56">
        <f t="shared" ref="E56:E61" si="6">D56*D39</f>
        <v>1374</v>
      </c>
      <c r="F56" t="str">
        <f ca="1"/>
        <v>=1/2*(D31+E31)</v>
      </c>
      <c r="G56" t="str">
        <f ca="1"/>
        <v>=D56*D39</v>
      </c>
    </row>
    <row r="57" spans="3:7" x14ac:dyDescent="0.2">
      <c r="C57">
        <v>3</v>
      </c>
      <c r="D57">
        <f t="shared" si="5"/>
        <v>184.5</v>
      </c>
      <c r="E57">
        <f t="shared" si="6"/>
        <v>2583</v>
      </c>
      <c r="F57" t="str">
        <f ca="1"/>
        <v>=1/2*(D32+E32)</v>
      </c>
      <c r="G57" t="str">
        <f ca="1"/>
        <v>=D57*D40</v>
      </c>
    </row>
    <row r="58" spans="3:7" x14ac:dyDescent="0.2">
      <c r="C58">
        <v>4</v>
      </c>
      <c r="D58">
        <f t="shared" si="5"/>
        <v>254.5</v>
      </c>
      <c r="E58">
        <f t="shared" si="6"/>
        <v>2545</v>
      </c>
      <c r="F58" t="str">
        <f ca="1"/>
        <v>=1/2*(D33+E33)</v>
      </c>
      <c r="G58" t="str">
        <f ca="1"/>
        <v>=D58*D41</v>
      </c>
    </row>
    <row r="59" spans="3:7" x14ac:dyDescent="0.2">
      <c r="C59">
        <v>5</v>
      </c>
      <c r="D59">
        <f t="shared" si="5"/>
        <v>324.5</v>
      </c>
      <c r="E59">
        <f t="shared" si="6"/>
        <v>4218.5</v>
      </c>
      <c r="F59" t="str">
        <f ca="1"/>
        <v>=1/2*(D34+E34)</v>
      </c>
      <c r="G59" t="str">
        <f ca="1"/>
        <v>=D59*D42</v>
      </c>
    </row>
    <row r="60" spans="3:7" x14ac:dyDescent="0.2">
      <c r="C60">
        <v>6</v>
      </c>
      <c r="D60">
        <f t="shared" si="5"/>
        <v>394.5</v>
      </c>
      <c r="E60">
        <f t="shared" si="6"/>
        <v>3550.5</v>
      </c>
      <c r="F60" t="str">
        <f ca="1"/>
        <v>=1/2*(D35+E35)</v>
      </c>
      <c r="G60" t="str">
        <f ca="1"/>
        <v>=D60*D43</v>
      </c>
    </row>
    <row r="61" spans="3:7" x14ac:dyDescent="0.2">
      <c r="C61">
        <v>7</v>
      </c>
      <c r="D61">
        <f t="shared" si="5"/>
        <v>464.5</v>
      </c>
      <c r="E61">
        <f t="shared" si="6"/>
        <v>5109.5</v>
      </c>
      <c r="F61" t="str">
        <f ca="1"/>
        <v>=1/2*(D36+E36)</v>
      </c>
      <c r="G61" t="str">
        <f ca="1"/>
        <v>=D61*D44</v>
      </c>
    </row>
    <row r="62" spans="3:7" x14ac:dyDescent="0.2">
      <c r="D62">
        <f>SUM(D55:D61)</f>
        <v>1781</v>
      </c>
      <c r="E62">
        <f>SUM(E55:E61)</f>
        <v>19864.5</v>
      </c>
      <c r="F62" t="str">
        <f ca="1"/>
        <v>=SUM(D55:D61)</v>
      </c>
      <c r="G62" t="str">
        <f ca="1"/>
        <v>=SUM(E55:E61)</v>
      </c>
    </row>
    <row r="63" spans="3:7" x14ac:dyDescent="0.2">
      <c r="F63" t="str">
        <f ca="1"/>
        <v/>
      </c>
      <c r="G63" t="str">
        <f ca="1"/>
        <v/>
      </c>
    </row>
    <row r="64" spans="3:7" x14ac:dyDescent="0.2">
      <c r="C64" cm="1">
        <f t="array" ref="C64:C70">_xlfn.SEQUENCE(7)</f>
        <v>1</v>
      </c>
      <c r="D64">
        <f>C64-ROUND(E$27/2,0)</f>
        <v>-3</v>
      </c>
      <c r="E64">
        <f>D64*D38</f>
        <v>-33</v>
      </c>
      <c r="F64" t="str" cm="1">
        <f t="array" aca="1" ref="F64:G71" ca="1">_xlfn.IFNA(_xlfn.FORMULATEXT(D64:E71),"")</f>
        <v>=C64-ROUND(E$27/2,0)</v>
      </c>
      <c r="G64" t="str">
        <f ca="1"/>
        <v>=D64*D38</v>
      </c>
    </row>
    <row r="65" spans="3:7" x14ac:dyDescent="0.2">
      <c r="C65">
        <v>2</v>
      </c>
      <c r="D65">
        <f t="shared" ref="D65:D70" si="7">C65-ROUND(E$27/2,0)</f>
        <v>-2</v>
      </c>
      <c r="E65">
        <f t="shared" ref="E65:E70" si="8">D65*D39</f>
        <v>-24</v>
      </c>
      <c r="F65" t="str">
        <f ca="1"/>
        <v>=C65-ROUND(E$27/2,0)</v>
      </c>
      <c r="G65" t="str">
        <f ca="1"/>
        <v>=D65*D39</v>
      </c>
    </row>
    <row r="66" spans="3:7" x14ac:dyDescent="0.2">
      <c r="C66">
        <v>3</v>
      </c>
      <c r="D66">
        <f t="shared" si="7"/>
        <v>-1</v>
      </c>
      <c r="E66">
        <f t="shared" si="8"/>
        <v>-14</v>
      </c>
      <c r="F66" t="str">
        <f ca="1"/>
        <v>=C66-ROUND(E$27/2,0)</v>
      </c>
      <c r="G66" t="str">
        <f ca="1"/>
        <v>=D66*D40</v>
      </c>
    </row>
    <row r="67" spans="3:7" x14ac:dyDescent="0.2">
      <c r="C67">
        <v>4</v>
      </c>
      <c r="D67">
        <f t="shared" si="7"/>
        <v>0</v>
      </c>
      <c r="E67">
        <f t="shared" si="8"/>
        <v>0</v>
      </c>
      <c r="F67" t="str">
        <f ca="1"/>
        <v>=C67-ROUND(E$27/2,0)</v>
      </c>
      <c r="G67" t="str">
        <f ca="1"/>
        <v>=D67*D41</v>
      </c>
    </row>
    <row r="68" spans="3:7" x14ac:dyDescent="0.2">
      <c r="C68">
        <v>5</v>
      </c>
      <c r="D68">
        <f t="shared" si="7"/>
        <v>1</v>
      </c>
      <c r="E68">
        <f t="shared" si="8"/>
        <v>13</v>
      </c>
      <c r="F68" t="str">
        <f ca="1"/>
        <v>=C68-ROUND(E$27/2,0)</v>
      </c>
      <c r="G68" t="str">
        <f ca="1"/>
        <v>=D68*D42</v>
      </c>
    </row>
    <row r="69" spans="3:7" x14ac:dyDescent="0.2">
      <c r="C69">
        <v>6</v>
      </c>
      <c r="D69">
        <f t="shared" si="7"/>
        <v>2</v>
      </c>
      <c r="E69">
        <f t="shared" si="8"/>
        <v>18</v>
      </c>
      <c r="F69" t="str">
        <f ca="1"/>
        <v>=C69-ROUND(E$27/2,0)</v>
      </c>
      <c r="G69" t="str">
        <f ca="1"/>
        <v>=D69*D43</v>
      </c>
    </row>
    <row r="70" spans="3:7" x14ac:dyDescent="0.2">
      <c r="C70">
        <v>7</v>
      </c>
      <c r="D70">
        <f t="shared" si="7"/>
        <v>3</v>
      </c>
      <c r="E70">
        <f t="shared" si="8"/>
        <v>33</v>
      </c>
      <c r="F70" t="str">
        <f ca="1"/>
        <v>=C70-ROUND(E$27/2,0)</v>
      </c>
      <c r="G70" t="str">
        <f ca="1"/>
        <v>=D70*D44</v>
      </c>
    </row>
    <row r="71" spans="3:7" x14ac:dyDescent="0.2">
      <c r="E71">
        <f>SUM(E64:E70)</f>
        <v>-7</v>
      </c>
      <c r="F71" t="str">
        <f ca="1"/>
        <v/>
      </c>
      <c r="G71" t="str">
        <f ca="1"/>
        <v>=SUM(E64:E70)</v>
      </c>
    </row>
    <row r="73" spans="3:7" x14ac:dyDescent="0.2">
      <c r="C73" t="s">
        <v>6</v>
      </c>
      <c r="E73">
        <f>E62</f>
        <v>19864.5</v>
      </c>
      <c r="F73" t="str" cm="1">
        <f t="array" aca="1" ref="F73:G78" ca="1">_xlfn.IFNA(_xlfn.FORMULATEXT(D73:E78),"")</f>
        <v/>
      </c>
      <c r="G73" t="str">
        <f ca="1"/>
        <v>=E62</v>
      </c>
    </row>
    <row r="74" spans="3:7" x14ac:dyDescent="0.2">
      <c r="C74" t="s">
        <v>7</v>
      </c>
      <c r="E74">
        <f>E45</f>
        <v>80</v>
      </c>
      <c r="F74" t="str">
        <f ca="1"/>
        <v/>
      </c>
      <c r="G74" t="str">
        <f ca="1"/>
        <v>=E45</v>
      </c>
    </row>
    <row r="75" spans="3:7" x14ac:dyDescent="0.2">
      <c r="C75" t="s">
        <v>8</v>
      </c>
      <c r="E75">
        <f>D58</f>
        <v>254.5</v>
      </c>
      <c r="F75" t="str">
        <f ca="1"/>
        <v/>
      </c>
      <c r="G75" t="str">
        <f ca="1"/>
        <v>=D58</v>
      </c>
    </row>
    <row r="76" spans="3:7" x14ac:dyDescent="0.2">
      <c r="C76" t="s">
        <v>9</v>
      </c>
      <c r="E76">
        <f>E71/E45</f>
        <v>-8.7499999999999994E-2</v>
      </c>
      <c r="F76" t="str">
        <f ca="1"/>
        <v/>
      </c>
      <c r="G76" t="str">
        <f ca="1"/>
        <v>=E71/E45</v>
      </c>
    </row>
    <row r="77" spans="3:7" x14ac:dyDescent="0.2">
      <c r="C77" t="s">
        <v>5</v>
      </c>
      <c r="E77">
        <f>E28</f>
        <v>70</v>
      </c>
      <c r="F77" t="str">
        <f ca="1"/>
        <v/>
      </c>
      <c r="G77" t="str">
        <f ca="1"/>
        <v>=E28</v>
      </c>
    </row>
    <row r="78" spans="3:7" x14ac:dyDescent="0.2">
      <c r="C78" t="s">
        <v>10</v>
      </c>
      <c r="E78">
        <f>E75+E76*E77</f>
        <v>248.375</v>
      </c>
      <c r="F78" t="str">
        <f ca="1"/>
        <v/>
      </c>
      <c r="G78" t="str">
        <f ca="1"/>
        <v>=E75+E76*E77</v>
      </c>
    </row>
    <row r="80" spans="3:7" x14ac:dyDescent="0.2">
      <c r="C80" t="s">
        <v>11</v>
      </c>
      <c r="E80">
        <f>E45/2</f>
        <v>40</v>
      </c>
      <c r="F80" t="str" cm="1">
        <f t="array" aca="1" ref="F80:G85" ca="1">_xlfn.IFNA(_xlfn.FORMULATEXT(D80:E85),"")</f>
        <v/>
      </c>
      <c r="G80" t="str">
        <f ca="1"/>
        <v>=E45/2</v>
      </c>
    </row>
    <row r="81" spans="3:7" x14ac:dyDescent="0.2">
      <c r="C81" t="s">
        <v>12</v>
      </c>
      <c r="E81">
        <f>_xlfn.XLOOKUP(E23/2,D47:D53,D30:D36,,1,)-0.5</f>
        <v>219.5</v>
      </c>
      <c r="F81" t="str">
        <f ca="1"/>
        <v/>
      </c>
      <c r="G81" t="str">
        <f ca="1"/>
        <v>=XLOOKUP(E23/2,D47:D53,D30:D36,,1,)-0.5</v>
      </c>
    </row>
    <row r="82" spans="3:7" x14ac:dyDescent="0.2">
      <c r="C82" t="s">
        <v>13</v>
      </c>
      <c r="E82">
        <f>N(_xlfn.XLOOKUP(E23/2,D47:D53,D46:D52,,1))</f>
        <v>37</v>
      </c>
      <c r="F82" t="str">
        <f ca="1"/>
        <v/>
      </c>
      <c r="G82" t="str">
        <f ca="1"/>
        <v>=N(XLOOKUP(E23/2,D47:D53,D46:D52,,1))</v>
      </c>
    </row>
    <row r="83" spans="3:7" x14ac:dyDescent="0.2">
      <c r="C83" t="s">
        <v>14</v>
      </c>
      <c r="E83">
        <f>_xlfn.XLOOKUP(E23/22,D47:D53,D38:D44,,1)</f>
        <v>11</v>
      </c>
      <c r="F83" t="str">
        <f ca="1"/>
        <v/>
      </c>
      <c r="G83" t="str">
        <f ca="1"/>
        <v>=XLOOKUP(E23/22,D47:D53,D38:D44,,1)</v>
      </c>
    </row>
    <row r="84" spans="3:7" x14ac:dyDescent="0.2">
      <c r="C84" t="s">
        <v>5</v>
      </c>
      <c r="E84">
        <f>E28</f>
        <v>70</v>
      </c>
      <c r="F84" t="str">
        <f ca="1"/>
        <v/>
      </c>
      <c r="G84" t="str">
        <f ca="1"/>
        <v>=E28</v>
      </c>
    </row>
    <row r="85" spans="3:7" x14ac:dyDescent="0.2">
      <c r="C85" t="s">
        <v>15</v>
      </c>
      <c r="E85">
        <f>(E80-E82)/E83*E84+E81</f>
        <v>238.59090909090909</v>
      </c>
      <c r="F85" t="str">
        <f ca="1"/>
        <v/>
      </c>
      <c r="G85" t="str">
        <f ca="1"/>
        <v>=(E80-E82)/E83*E84+E81</v>
      </c>
    </row>
    <row r="87" spans="3:7" x14ac:dyDescent="0.2">
      <c r="C87" t="s">
        <v>12</v>
      </c>
      <c r="E87">
        <f>_xlfn.XLOOKUP(MAX(D38:D44),D38:D44,D30:D36,,1)-0.5</f>
        <v>149.5</v>
      </c>
      <c r="F87" t="str" cm="1">
        <f t="array" aca="1" ref="F87:G91" ca="1">_xlfn.IFNA(_xlfn.FORMULATEXT(D87:E91),"")</f>
        <v/>
      </c>
      <c r="G87" t="str">
        <f ca="1"/>
        <v>=XLOOKUP(MAX(D38:D44),D38:D44,D30:D36,,1)-0.5</v>
      </c>
    </row>
    <row r="88" spans="3:7" x14ac:dyDescent="0.2">
      <c r="C88" t="s">
        <v>16</v>
      </c>
      <c r="E88">
        <f>MAX(D38:D44)-N(_xlfn.XLOOKUP(MAX(D38:D44),D38:D44,D37:D43,,1))</f>
        <v>2</v>
      </c>
      <c r="F88" t="str">
        <f ca="1"/>
        <v/>
      </c>
      <c r="G88" t="str">
        <f ca="1"/>
        <v>=MAX(D38:D44)-N(XLOOKUP(MAX(D38:D44),D38:D44,D37:D43,,1))</v>
      </c>
    </row>
    <row r="89" spans="3:7" x14ac:dyDescent="0.2">
      <c r="C89" t="s">
        <v>17</v>
      </c>
      <c r="E89">
        <f>MAX(D38:D44)-N(_xlfn.XLOOKUP(MAX(D38:D44),D38:D44,D39:D45,,1))</f>
        <v>4</v>
      </c>
      <c r="F89" t="str">
        <f ca="1"/>
        <v/>
      </c>
      <c r="G89" t="str">
        <f ca="1"/>
        <v>=MAX(D38:D44)-N(XLOOKUP(MAX(D38:D44),D38:D44,D39:D45,,1))</v>
      </c>
    </row>
    <row r="90" spans="3:7" x14ac:dyDescent="0.2">
      <c r="C90" t="s">
        <v>5</v>
      </c>
      <c r="E90">
        <f>E28</f>
        <v>70</v>
      </c>
      <c r="F90" t="str">
        <f ca="1"/>
        <v/>
      </c>
      <c r="G90" t="str">
        <f ca="1"/>
        <v>=E28</v>
      </c>
    </row>
    <row r="91" spans="3:7" x14ac:dyDescent="0.2">
      <c r="C91" t="s">
        <v>18</v>
      </c>
      <c r="E91">
        <f>(E88+E89)/E88*E90+E87</f>
        <v>359.5</v>
      </c>
      <c r="F91" t="str">
        <f ca="1"/>
        <v/>
      </c>
      <c r="G91" t="str">
        <f ca="1"/>
        <v>=(E88+E89)/E88*E90+E87</v>
      </c>
    </row>
    <row r="93" spans="3:7" x14ac:dyDescent="0.2">
      <c r="C93" t="s">
        <v>19</v>
      </c>
      <c r="E93">
        <v>3</v>
      </c>
      <c r="F93" t="str" cm="1">
        <f t="array" aca="1" ref="F93:G100" ca="1">_xlfn.IFNA(_xlfn.FORMULATEXT(D93:E100),"")</f>
        <v/>
      </c>
      <c r="G93" t="str">
        <f ca="1"/>
        <v/>
      </c>
    </row>
    <row r="94" spans="3:7" x14ac:dyDescent="0.2">
      <c r="C94" t="s">
        <v>0</v>
      </c>
      <c r="E94">
        <f>E$45</f>
        <v>80</v>
      </c>
      <c r="F94" t="str">
        <f ca="1"/>
        <v/>
      </c>
      <c r="G94" t="str">
        <f ca="1"/>
        <v>=E$45</v>
      </c>
    </row>
    <row r="95" spans="3:7" x14ac:dyDescent="0.2">
      <c r="C95" t="s">
        <v>21</v>
      </c>
      <c r="E95">
        <f>E93*E94/4</f>
        <v>60</v>
      </c>
      <c r="F95" t="str">
        <f ca="1"/>
        <v/>
      </c>
      <c r="G95" t="str">
        <f ca="1"/>
        <v>=E93*E94/4</v>
      </c>
    </row>
    <row r="96" spans="3:7" x14ac:dyDescent="0.2">
      <c r="C96" t="s">
        <v>20</v>
      </c>
      <c r="E96">
        <f>_xlfn.XLOOKUP(E95,D$47:D$53,D$30:D$36,,1,)-0.5</f>
        <v>289.5</v>
      </c>
      <c r="F96" t="str">
        <f ca="1"/>
        <v/>
      </c>
      <c r="G96" t="str">
        <f ca="1"/>
        <v>=XLOOKUP(E95,D$47:D$53,D$30:D$36,,1,)-0.5</v>
      </c>
    </row>
    <row r="97" spans="3:7" x14ac:dyDescent="0.2">
      <c r="C97" t="s">
        <v>22</v>
      </c>
      <c r="E97">
        <f>N(_xlfn.XLOOKUP(E95,D$47:D$53,D$46:D$52,,1))</f>
        <v>47</v>
      </c>
      <c r="F97" t="str">
        <f ca="1"/>
        <v/>
      </c>
      <c r="G97" t="str">
        <f ca="1"/>
        <v>=N(XLOOKUP(E95,D$47:D$53,D$46:D$52,,1))</v>
      </c>
    </row>
    <row r="98" spans="3:7" x14ac:dyDescent="0.2">
      <c r="C98" t="s">
        <v>23</v>
      </c>
      <c r="E98">
        <f>_xlfn.XLOOKUP(E95,D$47:D$53,D$38:D$44,,1)</f>
        <v>13</v>
      </c>
      <c r="F98" t="str">
        <f ca="1"/>
        <v/>
      </c>
      <c r="G98" t="str">
        <f ca="1"/>
        <v>=XLOOKUP(E95,D$47:D$53,D$38:D$44,,1)</v>
      </c>
    </row>
    <row r="99" spans="3:7" x14ac:dyDescent="0.2">
      <c r="C99" t="s">
        <v>5</v>
      </c>
      <c r="E99">
        <f>E$28</f>
        <v>70</v>
      </c>
      <c r="F99" t="str">
        <f ca="1"/>
        <v/>
      </c>
      <c r="G99" t="str">
        <f ca="1"/>
        <v>=E$28</v>
      </c>
    </row>
    <row r="100" spans="3:7" x14ac:dyDescent="0.2">
      <c r="C100" t="s">
        <v>24</v>
      </c>
      <c r="E100">
        <f>(E95-E97)/E98*E99+E96</f>
        <v>359.5</v>
      </c>
      <c r="F100" t="str">
        <f ca="1"/>
        <v/>
      </c>
      <c r="G100" t="str">
        <f ca="1"/>
        <v>=(E95-E97)/E98*E99+E96</v>
      </c>
    </row>
    <row r="102" spans="3:7" x14ac:dyDescent="0.2">
      <c r="C102" t="s">
        <v>19</v>
      </c>
      <c r="E102">
        <v>9</v>
      </c>
      <c r="F102" t="str" cm="1">
        <f t="array" aca="1" ref="F102:G109" ca="1">_xlfn.IFNA(_xlfn.FORMULATEXT(D102:E109),"")</f>
        <v/>
      </c>
      <c r="G102" t="str">
        <f ca="1"/>
        <v/>
      </c>
    </row>
    <row r="103" spans="3:7" x14ac:dyDescent="0.2">
      <c r="C103" t="s">
        <v>0</v>
      </c>
      <c r="E103">
        <f>E$45</f>
        <v>80</v>
      </c>
      <c r="F103" t="str">
        <f ca="1"/>
        <v/>
      </c>
      <c r="G103" t="str">
        <f ca="1"/>
        <v>=E$45</v>
      </c>
    </row>
    <row r="104" spans="3:7" x14ac:dyDescent="0.2">
      <c r="C104" t="s">
        <v>31</v>
      </c>
      <c r="E104">
        <f>E102*E103/10</f>
        <v>72</v>
      </c>
      <c r="F104" t="str">
        <f ca="1"/>
        <v/>
      </c>
      <c r="G104" t="str">
        <f ca="1"/>
        <v>=E102*E103/10</v>
      </c>
    </row>
    <row r="105" spans="3:7" x14ac:dyDescent="0.2">
      <c r="C105" t="s">
        <v>20</v>
      </c>
      <c r="E105">
        <f>_xlfn.XLOOKUP(E104,D$47:D$53,D$30:D$36,,1,)-0.5</f>
        <v>429.5</v>
      </c>
      <c r="F105" t="str">
        <f ca="1"/>
        <v/>
      </c>
      <c r="G105" t="str">
        <f ca="1"/>
        <v>=XLOOKUP(E104,D$47:D$53,D$30:D$36,,1,)-0.5</v>
      </c>
    </row>
    <row r="106" spans="3:7" x14ac:dyDescent="0.2">
      <c r="C106" t="s">
        <v>22</v>
      </c>
      <c r="E106">
        <f>N(_xlfn.XLOOKUP(E104,D$47:D$53,D$46:D$52,,1))</f>
        <v>69</v>
      </c>
      <c r="F106" t="str">
        <f ca="1"/>
        <v/>
      </c>
      <c r="G106" t="str">
        <f ca="1"/>
        <v>=N(XLOOKUP(E104,D$47:D$53,D$46:D$52,,1))</v>
      </c>
    </row>
    <row r="107" spans="3:7" x14ac:dyDescent="0.2">
      <c r="C107" t="s">
        <v>35</v>
      </c>
      <c r="E107">
        <f>_xlfn.XLOOKUP(E104,D$47:D$53,D$38:D$44,,1)</f>
        <v>11</v>
      </c>
      <c r="F107" t="str">
        <f ca="1"/>
        <v/>
      </c>
      <c r="G107" t="str">
        <f ca="1"/>
        <v>=XLOOKUP(E104,D$47:D$53,D$38:D$44,,1)</v>
      </c>
    </row>
    <row r="108" spans="3:7" x14ac:dyDescent="0.2">
      <c r="C108" t="s">
        <v>5</v>
      </c>
      <c r="E108">
        <f>E$28</f>
        <v>70</v>
      </c>
      <c r="F108" t="str">
        <f ca="1"/>
        <v/>
      </c>
      <c r="G108" t="str">
        <f ca="1"/>
        <v>=E$28</v>
      </c>
    </row>
    <row r="109" spans="3:7" x14ac:dyDescent="0.2">
      <c r="C109" t="s">
        <v>30</v>
      </c>
      <c r="E109">
        <f>(E104-E106)/E107*E108+E105</f>
        <v>448.59090909090907</v>
      </c>
      <c r="F109" t="str">
        <f ca="1"/>
        <v/>
      </c>
      <c r="G109" t="str">
        <f ca="1"/>
        <v>=(E104-E106)/E107*E108+E105</v>
      </c>
    </row>
    <row r="111" spans="3:7" x14ac:dyDescent="0.2">
      <c r="C111" t="s">
        <v>19</v>
      </c>
      <c r="E111">
        <v>99</v>
      </c>
      <c r="F111" t="str" cm="1">
        <f t="array" aca="1" ref="F111:G118" ca="1">_xlfn.IFNA(_xlfn.FORMULATEXT(D111:E118),"")</f>
        <v/>
      </c>
      <c r="G111" t="str">
        <f ca="1"/>
        <v/>
      </c>
    </row>
    <row r="112" spans="3:7" x14ac:dyDescent="0.2">
      <c r="C112" t="s">
        <v>0</v>
      </c>
      <c r="E112">
        <f>E$45</f>
        <v>80</v>
      </c>
      <c r="F112" t="str">
        <f ca="1"/>
        <v/>
      </c>
      <c r="G112" t="str">
        <f ca="1"/>
        <v>=E$45</v>
      </c>
    </row>
    <row r="113" spans="3:7" x14ac:dyDescent="0.2">
      <c r="C113" t="s">
        <v>32</v>
      </c>
      <c r="E113">
        <f>E111*E112/100</f>
        <v>79.2</v>
      </c>
      <c r="F113" t="str">
        <f ca="1"/>
        <v/>
      </c>
      <c r="G113" t="str">
        <f ca="1"/>
        <v>=E111*E112/100</v>
      </c>
    </row>
    <row r="114" spans="3:7" x14ac:dyDescent="0.2">
      <c r="C114" t="s">
        <v>20</v>
      </c>
      <c r="E114">
        <f>_xlfn.XLOOKUP(E113,D$47:D$53,D$30:D$36,,1,)-0.5</f>
        <v>429.5</v>
      </c>
      <c r="F114" t="str">
        <f ca="1"/>
        <v/>
      </c>
      <c r="G114" t="str">
        <f ca="1"/>
        <v>=XLOOKUP(E113,D$47:D$53,D$30:D$36,,1,)-0.5</v>
      </c>
    </row>
    <row r="115" spans="3:7" x14ac:dyDescent="0.2">
      <c r="C115" t="s">
        <v>22</v>
      </c>
      <c r="E115">
        <f>N(_xlfn.XLOOKUP(E113,D$47:D$53,D$46:D$52,,1))</f>
        <v>69</v>
      </c>
      <c r="F115" t="str">
        <f ca="1"/>
        <v/>
      </c>
      <c r="G115" t="str">
        <f ca="1"/>
        <v>=N(XLOOKUP(E113,D$47:D$53,D$46:D$52,,1))</v>
      </c>
    </row>
    <row r="116" spans="3:7" x14ac:dyDescent="0.2">
      <c r="C116" t="s">
        <v>34</v>
      </c>
      <c r="E116">
        <f>_xlfn.XLOOKUP(E113,D$47:D$53,D$38:D$44,,1)</f>
        <v>11</v>
      </c>
      <c r="F116" t="str">
        <f ca="1"/>
        <v/>
      </c>
      <c r="G116" t="str">
        <f ca="1"/>
        <v>=XLOOKUP(E113,D$47:D$53,D$38:D$44,,1)</v>
      </c>
    </row>
    <row r="117" spans="3:7" x14ac:dyDescent="0.2">
      <c r="C117" t="s">
        <v>5</v>
      </c>
      <c r="E117">
        <f>E$28</f>
        <v>70</v>
      </c>
      <c r="F117" t="str">
        <f ca="1"/>
        <v/>
      </c>
      <c r="G117" t="str">
        <f ca="1"/>
        <v>=E$28</v>
      </c>
    </row>
    <row r="118" spans="3:7" x14ac:dyDescent="0.2">
      <c r="C118" t="s">
        <v>33</v>
      </c>
      <c r="E118">
        <f>(E113-E115)/E116*E117+E114</f>
        <v>494.40909090909093</v>
      </c>
      <c r="F118" t="str">
        <f ca="1"/>
        <v/>
      </c>
      <c r="G118" t="str">
        <f ca="1"/>
        <v>=(E113-E115)/E116*E117+E114</v>
      </c>
    </row>
    <row r="120" spans="3:7" x14ac:dyDescent="0.2">
      <c r="C120" cm="1">
        <f t="array" ref="C120:C126">_xlfn.SEQUENCE(7)</f>
        <v>1</v>
      </c>
      <c r="D120">
        <f>D30-0.5</f>
        <v>8.5</v>
      </c>
      <c r="E120">
        <f>E30+0.5</f>
        <v>79.5</v>
      </c>
      <c r="F120" t="str" cm="1">
        <f t="array" aca="1" ref="F120:G126" ca="1">_xlfn.IFNA(_xlfn.FORMULATEXT(D120:E126),"")</f>
        <v>=D30-0.5</v>
      </c>
      <c r="G120" t="str">
        <f ca="1"/>
        <v>=E30+0.5</v>
      </c>
    </row>
    <row r="121" spans="3:7" x14ac:dyDescent="0.2">
      <c r="C121">
        <v>2</v>
      </c>
      <c r="D121">
        <f t="shared" ref="D121:D126" si="9">D31-0.5</f>
        <v>79.5</v>
      </c>
      <c r="E121">
        <f t="shared" ref="E121:E126" si="10">E31+0.5</f>
        <v>149.5</v>
      </c>
      <c r="F121" t="str">
        <f ca="1"/>
        <v>=D31-0.5</v>
      </c>
      <c r="G121" t="str">
        <f ca="1"/>
        <v>=E31+0.5</v>
      </c>
    </row>
    <row r="122" spans="3:7" x14ac:dyDescent="0.2">
      <c r="C122">
        <v>3</v>
      </c>
      <c r="D122">
        <f t="shared" si="9"/>
        <v>149.5</v>
      </c>
      <c r="E122">
        <f t="shared" si="10"/>
        <v>219.5</v>
      </c>
      <c r="F122" t="str">
        <f ca="1"/>
        <v>=D32-0.5</v>
      </c>
      <c r="G122" t="str">
        <f ca="1"/>
        <v>=E32+0.5</v>
      </c>
    </row>
    <row r="123" spans="3:7" x14ac:dyDescent="0.2">
      <c r="C123">
        <v>4</v>
      </c>
      <c r="D123">
        <f t="shared" si="9"/>
        <v>219.5</v>
      </c>
      <c r="E123">
        <f t="shared" si="10"/>
        <v>289.5</v>
      </c>
      <c r="F123" t="str">
        <f ca="1"/>
        <v>=D33-0.5</v>
      </c>
      <c r="G123" t="str">
        <f ca="1"/>
        <v>=E33+0.5</v>
      </c>
    </row>
    <row r="124" spans="3:7" x14ac:dyDescent="0.2">
      <c r="C124">
        <v>5</v>
      </c>
      <c r="D124">
        <f t="shared" si="9"/>
        <v>289.5</v>
      </c>
      <c r="E124">
        <f t="shared" si="10"/>
        <v>359.5</v>
      </c>
      <c r="F124" t="str">
        <f ca="1"/>
        <v>=D34-0.5</v>
      </c>
      <c r="G124" t="str">
        <f ca="1"/>
        <v>=E34+0.5</v>
      </c>
    </row>
    <row r="125" spans="3:7" x14ac:dyDescent="0.2">
      <c r="C125">
        <v>6</v>
      </c>
      <c r="D125">
        <f t="shared" si="9"/>
        <v>359.5</v>
      </c>
      <c r="E125">
        <f t="shared" si="10"/>
        <v>429.5</v>
      </c>
      <c r="F125" t="str">
        <f ca="1"/>
        <v>=D35-0.5</v>
      </c>
      <c r="G125" t="str">
        <f ca="1"/>
        <v>=E35+0.5</v>
      </c>
    </row>
    <row r="126" spans="3:7" x14ac:dyDescent="0.2">
      <c r="C126">
        <v>7</v>
      </c>
      <c r="D126">
        <f t="shared" si="9"/>
        <v>429.5</v>
      </c>
      <c r="E126">
        <f t="shared" si="10"/>
        <v>499.5</v>
      </c>
      <c r="F126" t="str">
        <f ca="1"/>
        <v>=D36-0.5</v>
      </c>
      <c r="G126" t="str">
        <f ca="1"/>
        <v>=E36+0.5</v>
      </c>
    </row>
    <row r="128" spans="3:7" x14ac:dyDescent="0.2">
      <c r="C128" cm="1">
        <f t="array" ref="C128:C134">_xlfn.SEQUENCE(7)</f>
        <v>1</v>
      </c>
      <c r="D128">
        <f>D55-E$78</f>
        <v>-204.375</v>
      </c>
      <c r="E128">
        <f>ABS(D128)</f>
        <v>204.375</v>
      </c>
      <c r="F128" t="str" cm="1">
        <f t="array" aca="1" ref="F128:G134" ca="1">_xlfn.IFNA(_xlfn.FORMULATEXT(D128:E134),"")</f>
        <v>=D55-E$78</v>
      </c>
      <c r="G128" t="str">
        <f ca="1"/>
        <v>=ABS(D128)</v>
      </c>
    </row>
    <row r="129" spans="3:7" x14ac:dyDescent="0.2">
      <c r="C129">
        <v>2</v>
      </c>
      <c r="D129">
        <f t="shared" ref="D129:D134" si="11">D56-E$78</f>
        <v>-133.875</v>
      </c>
      <c r="E129">
        <f t="shared" ref="E129:E134" si="12">ABS(D129)</f>
        <v>133.875</v>
      </c>
      <c r="F129" t="str">
        <f ca="1"/>
        <v>=D56-E$78</v>
      </c>
      <c r="G129" t="str">
        <f ca="1"/>
        <v>=ABS(D129)</v>
      </c>
    </row>
    <row r="130" spans="3:7" x14ac:dyDescent="0.2">
      <c r="C130">
        <v>3</v>
      </c>
      <c r="D130">
        <f t="shared" si="11"/>
        <v>-63.875</v>
      </c>
      <c r="E130">
        <f t="shared" si="12"/>
        <v>63.875</v>
      </c>
      <c r="F130" t="str">
        <f ca="1"/>
        <v>=D57-E$78</v>
      </c>
      <c r="G130" t="str">
        <f ca="1"/>
        <v>=ABS(D130)</v>
      </c>
    </row>
    <row r="131" spans="3:7" x14ac:dyDescent="0.2">
      <c r="C131">
        <v>4</v>
      </c>
      <c r="D131">
        <f t="shared" si="11"/>
        <v>6.125</v>
      </c>
      <c r="E131">
        <f t="shared" si="12"/>
        <v>6.125</v>
      </c>
      <c r="F131" t="str">
        <f ca="1"/>
        <v>=D58-E$78</v>
      </c>
      <c r="G131" t="str">
        <f ca="1"/>
        <v>=ABS(D131)</v>
      </c>
    </row>
    <row r="132" spans="3:7" x14ac:dyDescent="0.2">
      <c r="C132">
        <v>5</v>
      </c>
      <c r="D132">
        <f t="shared" si="11"/>
        <v>76.125</v>
      </c>
      <c r="E132">
        <f t="shared" si="12"/>
        <v>76.125</v>
      </c>
      <c r="F132" t="str">
        <f ca="1"/>
        <v>=D59-E$78</v>
      </c>
      <c r="G132" t="str">
        <f ca="1"/>
        <v>=ABS(D132)</v>
      </c>
    </row>
    <row r="133" spans="3:7" x14ac:dyDescent="0.2">
      <c r="C133">
        <v>6</v>
      </c>
      <c r="D133">
        <f t="shared" si="11"/>
        <v>146.125</v>
      </c>
      <c r="E133">
        <f t="shared" si="12"/>
        <v>146.125</v>
      </c>
      <c r="F133" t="str">
        <f ca="1"/>
        <v>=D60-E$78</v>
      </c>
      <c r="G133" t="str">
        <f ca="1"/>
        <v>=ABS(D133)</v>
      </c>
    </row>
    <row r="134" spans="3:7" x14ac:dyDescent="0.2">
      <c r="C134">
        <v>7</v>
      </c>
      <c r="D134">
        <f t="shared" si="11"/>
        <v>216.125</v>
      </c>
      <c r="E134">
        <f t="shared" si="12"/>
        <v>216.125</v>
      </c>
      <c r="F134" t="str">
        <f ca="1"/>
        <v>=D61-E$78</v>
      </c>
      <c r="G134" t="str">
        <f ca="1"/>
        <v>=ABS(D134)</v>
      </c>
    </row>
    <row r="136" spans="3:7" x14ac:dyDescent="0.2">
      <c r="C136" cm="1">
        <f t="array" ref="C136:C142">_xlfn.SEQUENCE(7)</f>
        <v>1</v>
      </c>
      <c r="E136">
        <f>E128*D38</f>
        <v>2248.125</v>
      </c>
      <c r="F136" t="str" cm="1">
        <f t="array" aca="1" ref="F136:G143" ca="1">_xlfn.IFNA(_xlfn.FORMULATEXT(D136:E143),"")</f>
        <v/>
      </c>
      <c r="G136" t="str">
        <f ca="1"/>
        <v>=E128*D38</v>
      </c>
    </row>
    <row r="137" spans="3:7" x14ac:dyDescent="0.2">
      <c r="C137">
        <v>2</v>
      </c>
      <c r="E137">
        <f t="shared" ref="E137:E142" si="13">E129*D39</f>
        <v>1606.5</v>
      </c>
      <c r="F137" t="str">
        <f ca="1"/>
        <v/>
      </c>
      <c r="G137" t="str">
        <f ca="1"/>
        <v>=E129*D39</v>
      </c>
    </row>
    <row r="138" spans="3:7" x14ac:dyDescent="0.2">
      <c r="C138">
        <v>3</v>
      </c>
      <c r="E138">
        <f t="shared" si="13"/>
        <v>894.25</v>
      </c>
      <c r="F138" t="str">
        <f ca="1"/>
        <v/>
      </c>
      <c r="G138" t="str">
        <f ca="1"/>
        <v>=E130*D40</v>
      </c>
    </row>
    <row r="139" spans="3:7" x14ac:dyDescent="0.2">
      <c r="C139">
        <v>4</v>
      </c>
      <c r="E139">
        <f t="shared" si="13"/>
        <v>61.25</v>
      </c>
      <c r="F139" t="str">
        <f ca="1"/>
        <v/>
      </c>
      <c r="G139" t="str">
        <f ca="1"/>
        <v>=E131*D41</v>
      </c>
    </row>
    <row r="140" spans="3:7" x14ac:dyDescent="0.2">
      <c r="C140">
        <v>5</v>
      </c>
      <c r="E140">
        <f t="shared" si="13"/>
        <v>989.625</v>
      </c>
      <c r="F140" t="str">
        <f ca="1"/>
        <v/>
      </c>
      <c r="G140" t="str">
        <f ca="1"/>
        <v>=E132*D42</v>
      </c>
    </row>
    <row r="141" spans="3:7" x14ac:dyDescent="0.2">
      <c r="C141">
        <v>6</v>
      </c>
      <c r="E141">
        <f t="shared" si="13"/>
        <v>1315.125</v>
      </c>
      <c r="F141" t="str">
        <f ca="1"/>
        <v/>
      </c>
      <c r="G141" t="str">
        <f ca="1"/>
        <v>=E133*D43</v>
      </c>
    </row>
    <row r="142" spans="3:7" x14ac:dyDescent="0.2">
      <c r="C142">
        <v>7</v>
      </c>
      <c r="E142">
        <f t="shared" si="13"/>
        <v>2377.375</v>
      </c>
      <c r="F142" t="str">
        <f ca="1"/>
        <v/>
      </c>
      <c r="G142" t="str">
        <f ca="1"/>
        <v>=E134*D44</v>
      </c>
    </row>
    <row r="143" spans="3:7" x14ac:dyDescent="0.2">
      <c r="E143">
        <f>SUM(E136:E142)</f>
        <v>9492.25</v>
      </c>
      <c r="F143" t="str">
        <f ca="1"/>
        <v/>
      </c>
      <c r="G143" t="str">
        <f ca="1"/>
        <v>=SUM(E136:E142)</v>
      </c>
    </row>
    <row r="145" spans="3:7" x14ac:dyDescent="0.2">
      <c r="C145" cm="1">
        <f t="array" ref="C145:C151">_xlfn.SEQUENCE(7)</f>
        <v>1</v>
      </c>
      <c r="D145">
        <f>D128^2</f>
        <v>41769.140625</v>
      </c>
      <c r="E145">
        <f>D145*D38</f>
        <v>459460.546875</v>
      </c>
      <c r="F145" t="str" cm="1">
        <f t="array" aca="1" ref="F145:G152" ca="1">_xlfn.IFNA(_xlfn.FORMULATEXT(D145:E152),"")</f>
        <v>=D128^2</v>
      </c>
      <c r="G145" t="str">
        <f ca="1"/>
        <v>=D145*D38</v>
      </c>
    </row>
    <row r="146" spans="3:7" x14ac:dyDescent="0.2">
      <c r="C146">
        <v>2</v>
      </c>
      <c r="D146">
        <f>D129^2</f>
        <v>17922.515625</v>
      </c>
      <c r="E146">
        <f t="shared" ref="E146:E151" si="14">D146*D39</f>
        <v>215070.1875</v>
      </c>
      <c r="F146" t="str">
        <f ca="1"/>
        <v>=D129^2</v>
      </c>
      <c r="G146" t="str">
        <f ca="1"/>
        <v>=D146*D39</v>
      </c>
    </row>
    <row r="147" spans="3:7" x14ac:dyDescent="0.2">
      <c r="C147">
        <v>3</v>
      </c>
      <c r="D147">
        <f>D130^2</f>
        <v>4080.015625</v>
      </c>
      <c r="E147">
        <f t="shared" si="14"/>
        <v>57120.21875</v>
      </c>
      <c r="F147" t="str">
        <f ca="1"/>
        <v>=D130^2</v>
      </c>
      <c r="G147" t="str">
        <f ca="1"/>
        <v>=D147*D40</v>
      </c>
    </row>
    <row r="148" spans="3:7" x14ac:dyDescent="0.2">
      <c r="C148">
        <v>4</v>
      </c>
      <c r="D148">
        <f>D131^2</f>
        <v>37.515625</v>
      </c>
      <c r="E148">
        <f t="shared" si="14"/>
        <v>375.15625</v>
      </c>
      <c r="F148" t="str">
        <f ca="1"/>
        <v>=D131^2</v>
      </c>
      <c r="G148" t="str">
        <f ca="1"/>
        <v>=D148*D41</v>
      </c>
    </row>
    <row r="149" spans="3:7" x14ac:dyDescent="0.2">
      <c r="C149">
        <v>5</v>
      </c>
      <c r="D149">
        <f>D132^2</f>
        <v>5795.015625</v>
      </c>
      <c r="E149">
        <f t="shared" si="14"/>
        <v>75335.203125</v>
      </c>
      <c r="F149" t="str">
        <f ca="1"/>
        <v>=D132^2</v>
      </c>
      <c r="G149" t="str">
        <f ca="1"/>
        <v>=D149*D42</v>
      </c>
    </row>
    <row r="150" spans="3:7" x14ac:dyDescent="0.2">
      <c r="C150">
        <v>6</v>
      </c>
      <c r="D150">
        <f>D133^2</f>
        <v>21352.515625</v>
      </c>
      <c r="E150">
        <f t="shared" si="14"/>
        <v>192172.640625</v>
      </c>
      <c r="F150" t="str">
        <f ca="1"/>
        <v>=D133^2</v>
      </c>
      <c r="G150" t="str">
        <f ca="1"/>
        <v>=D150*D43</v>
      </c>
    </row>
    <row r="151" spans="3:7" x14ac:dyDescent="0.2">
      <c r="C151">
        <v>7</v>
      </c>
      <c r="D151">
        <f>D134^2</f>
        <v>46710.015625</v>
      </c>
      <c r="E151">
        <f t="shared" si="14"/>
        <v>513810.171875</v>
      </c>
      <c r="F151" t="str">
        <f ca="1"/>
        <v>=D134^2</v>
      </c>
      <c r="G151" t="str">
        <f ca="1"/>
        <v>=D151*D44</v>
      </c>
    </row>
    <row r="152" spans="3:7" x14ac:dyDescent="0.2">
      <c r="E152">
        <f>SUM(E145:E151)</f>
        <v>1513344.125</v>
      </c>
      <c r="F152" t="str">
        <f ca="1"/>
        <v/>
      </c>
      <c r="G152" t="str">
        <f ca="1"/>
        <v>=SUM(E145:E151)</v>
      </c>
    </row>
    <row r="154" spans="3:7" x14ac:dyDescent="0.2">
      <c r="C154" t="s">
        <v>3</v>
      </c>
      <c r="D154" t="s">
        <v>25</v>
      </c>
      <c r="E154">
        <f>MAX(D$55:D$61)-MIN(D$55:D$61)</f>
        <v>420.5</v>
      </c>
      <c r="F154" t="str" cm="1">
        <f t="array" aca="1" ref="F154:G158" ca="1">_xlfn.IFNA(_xlfn.FORMULATEXT(D154:E158),"")</f>
        <v/>
      </c>
      <c r="G154" t="str">
        <f ca="1"/>
        <v>=MAX(D$55:D$61)-MIN(D$55:D$61)</v>
      </c>
    </row>
    <row r="155" spans="3:7" x14ac:dyDescent="0.2">
      <c r="D155" t="s">
        <v>26</v>
      </c>
      <c r="E155">
        <f>MAX(E$30:E$36)-MIN(D$30:D$36)</f>
        <v>490</v>
      </c>
      <c r="F155" t="str">
        <f ca="1"/>
        <v/>
      </c>
      <c r="G155" t="str">
        <f ca="1"/>
        <v>=MAX(E$30:E$36)-MIN(D$30:D$36)</v>
      </c>
    </row>
    <row r="156" spans="3:7" x14ac:dyDescent="0.2">
      <c r="C156" t="s">
        <v>27</v>
      </c>
      <c r="E156">
        <f>1/E23*E143</f>
        <v>118.653125</v>
      </c>
      <c r="F156" t="str">
        <f ca="1"/>
        <v/>
      </c>
      <c r="G156" t="str">
        <f ca="1"/>
        <v>=1/E23*E143</v>
      </c>
    </row>
    <row r="157" spans="3:7" x14ac:dyDescent="0.2">
      <c r="C157" t="s">
        <v>28</v>
      </c>
      <c r="E157">
        <f>1/E23*E152</f>
        <v>18916.801562500001</v>
      </c>
      <c r="F157" t="str">
        <f ca="1"/>
        <v/>
      </c>
      <c r="G157" t="str">
        <f ca="1"/>
        <v>=1/E23*E152</v>
      </c>
    </row>
    <row r="158" spans="3:7" x14ac:dyDescent="0.2">
      <c r="C158" t="s">
        <v>29</v>
      </c>
      <c r="E158">
        <f>SQRT(E157)</f>
        <v>137.538363966204</v>
      </c>
      <c r="F158" t="str">
        <f ca="1"/>
        <v/>
      </c>
      <c r="G158" t="str">
        <f ca="1"/>
        <v>=SQRT(E157)</v>
      </c>
    </row>
    <row r="160" spans="3:7" x14ac:dyDescent="0.2">
      <c r="C160" t="s">
        <v>36</v>
      </c>
      <c r="E160">
        <f>(E78-E91)/E158</f>
        <v>-0.80795638973359962</v>
      </c>
      <c r="F160" t="str" cm="1">
        <f t="array" aca="1" ref="F160:G161" ca="1">_xlfn.IFNA(_xlfn.FORMULATEXT(D160:E161),"")</f>
        <v/>
      </c>
      <c r="G160" t="str">
        <f ca="1"/>
        <v>=(E78-E91)/E158</v>
      </c>
    </row>
    <row r="161" spans="3:7" x14ac:dyDescent="0.2">
      <c r="C161" t="s">
        <v>37</v>
      </c>
      <c r="E161">
        <f>(E78-E85)/E158*3</f>
        <v>0.21341153028754345</v>
      </c>
      <c r="F161" t="str">
        <f ca="1"/>
        <v/>
      </c>
      <c r="G161" t="str">
        <f ca="1"/>
        <v>=(E78-E85)/E158*3</v>
      </c>
    </row>
    <row r="163" spans="3:7" x14ac:dyDescent="0.2">
      <c r="C163" cm="1">
        <f t="array" ref="C163:C169">_xlfn.SEQUENCE(7)</f>
        <v>1</v>
      </c>
      <c r="D163">
        <f>E128^4</f>
        <v>1744661108.5510254</v>
      </c>
      <c r="E163">
        <f>D163*D38</f>
        <v>19191272194.061279</v>
      </c>
      <c r="F163" t="str" cm="1">
        <f t="array" aca="1" ref="F163:G169" ca="1">_xlfn.IFNA(_xlfn.FORMULATEXT(D163:E169),"")</f>
        <v>=E128^4</v>
      </c>
      <c r="G163" t="str">
        <f ca="1"/>
        <v>=D163*D38</v>
      </c>
    </row>
    <row r="164" spans="3:7" x14ac:dyDescent="0.2">
      <c r="C164">
        <v>2</v>
      </c>
      <c r="D164">
        <f>E129^4</f>
        <v>321216566.32836914</v>
      </c>
      <c r="E164">
        <f>D164*D39</f>
        <v>3854598795.9404297</v>
      </c>
      <c r="F164" t="str">
        <f ca="1"/>
        <v>=E129^4</v>
      </c>
      <c r="G164" t="str">
        <f ca="1"/>
        <v>=D164*D39</v>
      </c>
    </row>
    <row r="165" spans="3:7" x14ac:dyDescent="0.2">
      <c r="C165">
        <v>3</v>
      </c>
      <c r="D165">
        <f>E130^4</f>
        <v>16646527.500244141</v>
      </c>
      <c r="E165">
        <f>D165*D40</f>
        <v>233051385.00341797</v>
      </c>
      <c r="F165" t="str">
        <f ca="1"/>
        <v>=E130^4</v>
      </c>
      <c r="G165" t="str">
        <f ca="1"/>
        <v>=D165*D40</v>
      </c>
    </row>
    <row r="166" spans="3:7" x14ac:dyDescent="0.2">
      <c r="C166">
        <v>4</v>
      </c>
      <c r="D166">
        <f>E131^4</f>
        <v>1407.422119140625</v>
      </c>
      <c r="E166">
        <f>D166*D41</f>
        <v>14074.22119140625</v>
      </c>
      <c r="F166" t="str">
        <f ca="1"/>
        <v>=E131^4</v>
      </c>
      <c r="G166" t="str">
        <f ca="1"/>
        <v>=D166*D41</v>
      </c>
    </row>
    <row r="167" spans="3:7" x14ac:dyDescent="0.2">
      <c r="C167">
        <v>5</v>
      </c>
      <c r="D167">
        <f>E132^4</f>
        <v>33582206.093994141</v>
      </c>
      <c r="E167">
        <f>D167*D42</f>
        <v>436568679.22192383</v>
      </c>
      <c r="F167" t="str">
        <f ca="1"/>
        <v>=E132^4</v>
      </c>
      <c r="G167" t="str">
        <f ca="1"/>
        <v>=D167*D42</v>
      </c>
    </row>
    <row r="168" spans="3:7" x14ac:dyDescent="0.2">
      <c r="C168">
        <v>6</v>
      </c>
      <c r="D168">
        <f>E133^4</f>
        <v>455929923.51586914</v>
      </c>
      <c r="E168">
        <f>D168*D43</f>
        <v>4103369311.6428223</v>
      </c>
      <c r="F168" t="str">
        <f ca="1"/>
        <v>=E133^4</v>
      </c>
      <c r="G168" t="str">
        <f ca="1"/>
        <v>=D168*D43</v>
      </c>
    </row>
    <row r="169" spans="3:7" x14ac:dyDescent="0.2">
      <c r="C169">
        <v>7</v>
      </c>
      <c r="D169">
        <f>E134^4</f>
        <v>2181825559.6877441</v>
      </c>
      <c r="E169">
        <f>D169*D44</f>
        <v>24000081156.565186</v>
      </c>
      <c r="F169" t="str">
        <f ca="1"/>
        <v>=E134^4</v>
      </c>
      <c r="G169" t="str">
        <f ca="1"/>
        <v>=D169*D44</v>
      </c>
    </row>
    <row r="170" spans="3:7" x14ac:dyDescent="0.2">
      <c r="E170">
        <f>SUM(E163:E169)</f>
        <v>51818955596.65625</v>
      </c>
    </row>
    <row r="172" spans="3:7" x14ac:dyDescent="0.2">
      <c r="C172" t="s">
        <v>38</v>
      </c>
      <c r="E172">
        <f>1/E23*E170</f>
        <v>647736944.9582032</v>
      </c>
      <c r="F172" t="str" cm="1">
        <f t="array" aca="1" ref="F172:G175" ca="1">_xlfn.IFNA(_xlfn.FORMULATEXT(D172:E175),"")</f>
        <v/>
      </c>
      <c r="G172" t="str">
        <f ca="1"/>
        <v>=1/E23*E170</v>
      </c>
    </row>
    <row r="173" spans="3:7" x14ac:dyDescent="0.2">
      <c r="C173" t="s">
        <v>39</v>
      </c>
      <c r="E173">
        <f>E158^4</f>
        <v>357845381.35500258</v>
      </c>
      <c r="F173" t="str">
        <f ca="1"/>
        <v/>
      </c>
      <c r="G173" t="str">
        <f ca="1"/>
        <v>=E158^4</v>
      </c>
    </row>
    <row r="174" spans="3:7" x14ac:dyDescent="0.2">
      <c r="C174" t="s">
        <v>40</v>
      </c>
      <c r="E174">
        <f>E172/E173</f>
        <v>1.8101028508611992</v>
      </c>
      <c r="F174" t="str">
        <f ca="1"/>
        <v/>
      </c>
      <c r="G174" t="str">
        <f ca="1"/>
        <v>=E172/E173</v>
      </c>
    </row>
    <row r="175" spans="3:7" x14ac:dyDescent="0.2">
      <c r="C175" t="s">
        <v>41</v>
      </c>
      <c r="E175" t="str">
        <f>IF(E174&gt;3,"Leptokurtik",IF(E174&lt;3,"Platikurtik","Mesokurtik"))</f>
        <v>Platikurtik</v>
      </c>
      <c r="F175" t="str">
        <f ca="1"/>
        <v/>
      </c>
      <c r="G175" t="str">
        <f ca="1"/>
        <v>=IF(E174&gt;3,"Leptokurtik",IF(E174&lt;3,"Platikurtik","Mesokurtik"))</v>
      </c>
    </row>
    <row r="177" spans="3:7" x14ac:dyDescent="0.2">
      <c r="C177" cm="1">
        <f t="array" ref="C177:C183">_xlfn.SEQUENCE(7)</f>
        <v>1</v>
      </c>
      <c r="D177" t="str">
        <f>D120&amp;"-"&amp;E120</f>
        <v>8.5-79.5</v>
      </c>
      <c r="E177">
        <f>D38</f>
        <v>11</v>
      </c>
      <c r="F177" t="str" cm="1">
        <f t="array" aca="1" ref="F177:G183" ca="1">_xlfn.IFNA(_xlfn.FORMULATEXT(D177:E183),"")</f>
        <v>=D120&amp;"-"&amp;E120</v>
      </c>
      <c r="G177" t="str">
        <f ca="1"/>
        <v>=D38</v>
      </c>
    </row>
    <row r="178" spans="3:7" x14ac:dyDescent="0.2">
      <c r="C178">
        <v>2</v>
      </c>
      <c r="D178" t="str">
        <f>D121&amp;"-"&amp;E121</f>
        <v>79.5-149.5</v>
      </c>
      <c r="E178">
        <f>D39</f>
        <v>12</v>
      </c>
      <c r="F178" t="str">
        <f ca="1"/>
        <v>=D121&amp;"-"&amp;E121</v>
      </c>
      <c r="G178" t="str">
        <f ca="1"/>
        <v>=D39</v>
      </c>
    </row>
    <row r="179" spans="3:7" x14ac:dyDescent="0.2">
      <c r="C179">
        <v>3</v>
      </c>
      <c r="D179" t="str">
        <f>D122&amp;"-"&amp;E122</f>
        <v>149.5-219.5</v>
      </c>
      <c r="E179">
        <f>D40</f>
        <v>14</v>
      </c>
      <c r="F179" t="str">
        <f ca="1"/>
        <v>=D122&amp;"-"&amp;E122</v>
      </c>
      <c r="G179" t="str">
        <f ca="1"/>
        <v>=D40</v>
      </c>
    </row>
    <row r="180" spans="3:7" x14ac:dyDescent="0.2">
      <c r="C180">
        <v>4</v>
      </c>
      <c r="D180" t="str">
        <f>D123&amp;"-"&amp;E123</f>
        <v>219.5-289.5</v>
      </c>
      <c r="E180">
        <f>D41</f>
        <v>10</v>
      </c>
      <c r="F180" t="str">
        <f ca="1"/>
        <v>=D123&amp;"-"&amp;E123</v>
      </c>
      <c r="G180" t="str">
        <f ca="1"/>
        <v>=D41</v>
      </c>
    </row>
    <row r="181" spans="3:7" x14ac:dyDescent="0.2">
      <c r="C181">
        <v>5</v>
      </c>
      <c r="D181" t="str">
        <f>D124&amp;"-"&amp;E124</f>
        <v>289.5-359.5</v>
      </c>
      <c r="E181">
        <f>D42</f>
        <v>13</v>
      </c>
      <c r="F181" t="str">
        <f ca="1"/>
        <v>=D124&amp;"-"&amp;E124</v>
      </c>
      <c r="G181" t="str">
        <f ca="1"/>
        <v>=D42</v>
      </c>
    </row>
    <row r="182" spans="3:7" x14ac:dyDescent="0.2">
      <c r="C182">
        <v>6</v>
      </c>
      <c r="D182" t="str">
        <f>D125&amp;"-"&amp;E125</f>
        <v>359.5-429.5</v>
      </c>
      <c r="E182">
        <f>D43</f>
        <v>9</v>
      </c>
      <c r="F182" t="str">
        <f ca="1"/>
        <v>=D125&amp;"-"&amp;E125</v>
      </c>
      <c r="G182" t="str">
        <f ca="1"/>
        <v>=D43</v>
      </c>
    </row>
    <row r="183" spans="3:7" x14ac:dyDescent="0.2">
      <c r="C183">
        <v>7</v>
      </c>
      <c r="D183" t="str">
        <f>D126&amp;"-"&amp;E126</f>
        <v>429.5-499.5</v>
      </c>
      <c r="E183">
        <f>D44</f>
        <v>11</v>
      </c>
      <c r="F183" t="str">
        <f ca="1"/>
        <v>=D126&amp;"-"&amp;E126</v>
      </c>
      <c r="G183" t="str">
        <f ca="1"/>
        <v>=D44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8507-4FB4-1543-BDE9-45C9889CF5B4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AKBAR RIZKIA</dc:creator>
  <cp:lastModifiedBy>X</cp:lastModifiedBy>
  <dcterms:created xsi:type="dcterms:W3CDTF">2026-04-29T09:12:55Z</dcterms:created>
  <dcterms:modified xsi:type="dcterms:W3CDTF">2026-04-29T09:12:55Z</dcterms:modified>
</cp:coreProperties>
</file>