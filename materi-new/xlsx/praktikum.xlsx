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RAKTIKAN\Documents\STATISTIKA C_ATIKAHLA_202531098.PRAKTIKUM\"/>
    </mc:Choice>
  </mc:AlternateContent>
  <xr:revisionPtr revIDLastSave="0" documentId="8_{2E1543F1-4463-E545-9C86-352BD2A80C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B9" i="1"/>
  <c r="F8" i="1"/>
  <c r="B8" i="1"/>
  <c r="B10" i="1"/>
  <c r="B11" i="1"/>
  <c r="C11" i="1"/>
  <c r="B12" i="1"/>
  <c r="C12" i="1"/>
  <c r="G8" i="1"/>
  <c r="K8" i="1"/>
  <c r="F9" i="1"/>
  <c r="G9" i="1"/>
  <c r="F10" i="1"/>
  <c r="G10" i="1"/>
  <c r="F11" i="1"/>
  <c r="G11" i="1"/>
  <c r="F12" i="1"/>
  <c r="G12" i="1"/>
  <c r="H8" i="1" a="1"/>
  <c r="H8" i="1"/>
  <c r="L8" i="1"/>
  <c r="K9" i="1"/>
  <c r="H9" i="1"/>
  <c r="L9" i="1"/>
  <c r="K10" i="1"/>
  <c r="H10" i="1"/>
  <c r="L10" i="1"/>
  <c r="K11" i="1"/>
  <c r="H11" i="1"/>
  <c r="L11" i="1"/>
  <c r="K12" i="1"/>
  <c r="H12" i="1"/>
  <c r="L12" i="1"/>
  <c r="L13" i="1"/>
  <c r="C17" i="1"/>
  <c r="H13" i="1"/>
  <c r="C18" i="1"/>
  <c r="C20" i="1"/>
  <c r="E26" i="1"/>
  <c r="F26" i="1"/>
  <c r="I46" i="1"/>
  <c r="J46" i="1"/>
  <c r="E27" i="1"/>
  <c r="F27" i="1"/>
  <c r="I47" i="1"/>
  <c r="J47" i="1"/>
  <c r="E28" i="1"/>
  <c r="F28" i="1"/>
  <c r="I48" i="1"/>
  <c r="J48" i="1"/>
  <c r="E29" i="1"/>
  <c r="F29" i="1"/>
  <c r="I49" i="1"/>
  <c r="J49" i="1"/>
  <c r="E30" i="1"/>
  <c r="F30" i="1"/>
  <c r="I50" i="1"/>
  <c r="J50" i="1"/>
  <c r="J51" i="1"/>
  <c r="F46" i="1"/>
  <c r="N17" i="1"/>
  <c r="Q17" i="1"/>
  <c r="E38" i="1"/>
  <c r="H26" i="1"/>
  <c r="I26" i="1"/>
  <c r="H27" i="1"/>
  <c r="I27" i="1"/>
  <c r="H28" i="1"/>
  <c r="I28" i="1"/>
  <c r="H29" i="1"/>
  <c r="I29" i="1"/>
  <c r="H30" i="1"/>
  <c r="I30" i="1"/>
  <c r="I31" i="1"/>
  <c r="B37" i="1"/>
  <c r="B38" i="1"/>
  <c r="F47" i="1"/>
  <c r="F48" i="1"/>
  <c r="H17" i="1"/>
  <c r="H16" i="1"/>
  <c r="I8" i="1"/>
  <c r="H18" i="1"/>
  <c r="H19" i="1"/>
  <c r="H20" i="1"/>
  <c r="H21" i="1"/>
  <c r="B47" i="1"/>
  <c r="K16" i="1"/>
  <c r="K17" i="1"/>
  <c r="K18" i="1"/>
  <c r="K19" i="1"/>
  <c r="K20" i="1"/>
  <c r="B46" i="1"/>
  <c r="B26" i="1"/>
  <c r="D26" i="1"/>
  <c r="M36" i="1"/>
  <c r="B27" i="1"/>
  <c r="D27" i="1"/>
  <c r="M37" i="1"/>
  <c r="B28" i="1"/>
  <c r="D28" i="1"/>
  <c r="M38" i="1"/>
  <c r="B29" i="1"/>
  <c r="D29" i="1"/>
  <c r="M39" i="1"/>
  <c r="B30" i="1"/>
  <c r="D30" i="1"/>
  <c r="M40" i="1"/>
  <c r="L37" i="1"/>
  <c r="L38" i="1"/>
  <c r="L39" i="1"/>
  <c r="L40" i="1"/>
  <c r="L36" i="1"/>
  <c r="K36" i="1" a="1"/>
  <c r="K40" i="1"/>
  <c r="G26" i="1"/>
  <c r="G27" i="1"/>
  <c r="G28" i="1"/>
  <c r="G29" i="1"/>
  <c r="G30" i="1"/>
  <c r="G31" i="1"/>
  <c r="B36" i="1"/>
  <c r="C35" i="1"/>
  <c r="C34" i="1"/>
  <c r="I51" i="1"/>
  <c r="N22" i="1"/>
  <c r="Q22" i="1"/>
  <c r="T22" i="1"/>
  <c r="T21" i="1"/>
  <c r="I9" i="1"/>
  <c r="I10" i="1"/>
  <c r="I11" i="1"/>
  <c r="T20" i="1"/>
  <c r="T19" i="1"/>
  <c r="T17" i="1"/>
  <c r="T18" i="1"/>
  <c r="T23" i="1"/>
  <c r="Q19" i="1"/>
  <c r="Q18" i="1"/>
  <c r="Q20" i="1"/>
  <c r="Q21" i="1"/>
  <c r="Q23" i="1"/>
  <c r="N18" i="1"/>
  <c r="N19" i="1"/>
  <c r="N20" i="1"/>
  <c r="N21" i="1"/>
  <c r="N23" i="1"/>
  <c r="E17" i="1"/>
  <c r="E19" i="1"/>
  <c r="N8" i="1"/>
  <c r="N9" i="1"/>
  <c r="N10" i="1"/>
  <c r="N11" i="1"/>
  <c r="N12" i="1"/>
  <c r="N13" i="1"/>
  <c r="E18" i="1"/>
  <c r="E20" i="1"/>
  <c r="K13" i="1"/>
  <c r="I12" i="1"/>
  <c r="J8" i="1"/>
  <c r="J9" i="1"/>
  <c r="J10" i="1"/>
  <c r="J11" i="1"/>
  <c r="J12" i="1"/>
  <c r="K38" i="1"/>
  <c r="K36" i="1"/>
  <c r="K39" i="1"/>
  <c r="K37" i="1"/>
</calcChain>
</file>

<file path=xl/sharedStrings.xml><?xml version="1.0" encoding="utf-8"?>
<sst xmlns="http://schemas.openxmlformats.org/spreadsheetml/2006/main" count="105" uniqueCount="84">
  <si>
    <t>DATA</t>
  </si>
  <si>
    <t>cntrl + shift + enter</t>
  </si>
  <si>
    <t>BANYAK DATA [n]</t>
  </si>
  <si>
    <t>BATAS BAWAH</t>
  </si>
  <si>
    <t>BATAS ATAS</t>
  </si>
  <si>
    <t>FREKUENSI (fi)</t>
  </si>
  <si>
    <t>fk*</t>
  </si>
  <si>
    <t>mi</t>
  </si>
  <si>
    <t>mi.fi</t>
  </si>
  <si>
    <t>U</t>
  </si>
  <si>
    <t>U.fi</t>
  </si>
  <si>
    <t>MAX</t>
  </si>
  <si>
    <t>MIN</t>
  </si>
  <si>
    <t>RANGE</t>
  </si>
  <si>
    <t>JUMLAH/BANYAK KELAS [k]</t>
  </si>
  <si>
    <t>LEBAR KELAS [c]</t>
  </si>
  <si>
    <t>MEAN</t>
  </si>
  <si>
    <t>MEDIAN</t>
  </si>
  <si>
    <t>MODUS</t>
  </si>
  <si>
    <t>QUARTIL</t>
  </si>
  <si>
    <t>DESIL</t>
  </si>
  <si>
    <t>PERSENTIL</t>
  </si>
  <si>
    <t>NILAI TENGAH</t>
  </si>
  <si>
    <t>SKALA (INTERVAL KELAS)</t>
  </si>
  <si>
    <t>Kelas Median</t>
  </si>
  <si>
    <t>tb</t>
  </si>
  <si>
    <t>i</t>
  </si>
  <si>
    <r>
      <t>∑</t>
    </r>
    <r>
      <rPr>
        <sz val="12"/>
        <color theme="1"/>
        <rFont val="Aptos Narrow"/>
        <family val="2"/>
        <scheme val="minor"/>
      </rPr>
      <t>mi*fi</t>
    </r>
  </si>
  <si>
    <t>Xo</t>
  </si>
  <si>
    <t>d1</t>
  </si>
  <si>
    <t>n</t>
  </si>
  <si>
    <t>∑fi</t>
  </si>
  <si>
    <t>U rata-rata</t>
  </si>
  <si>
    <t>d2</t>
  </si>
  <si>
    <t>kelas kuartil i</t>
  </si>
  <si>
    <t>kelas desil i</t>
  </si>
  <si>
    <t>kelas persentil i</t>
  </si>
  <si>
    <t>c</t>
  </si>
  <si>
    <t>f Median</t>
  </si>
  <si>
    <t>tbi</t>
  </si>
  <si>
    <t>X rata-rata</t>
  </si>
  <si>
    <t>Modus</t>
  </si>
  <si>
    <t>fk*i</t>
  </si>
  <si>
    <t>Median</t>
  </si>
  <si>
    <t>fQi</t>
  </si>
  <si>
    <t>fDi</t>
  </si>
  <si>
    <t>fPi</t>
  </si>
  <si>
    <t>Quartil i</t>
  </si>
  <si>
    <t>Desil</t>
  </si>
  <si>
    <t>Persentil i</t>
  </si>
  <si>
    <t>No</t>
  </si>
  <si>
    <t>Kelas</t>
  </si>
  <si>
    <t>mi-X</t>
  </si>
  <si>
    <t>|mi-X|</t>
  </si>
  <si>
    <t>|mi-X| *fi</t>
  </si>
  <si>
    <t>|mi-X| ^ 2</t>
  </si>
  <si>
    <t>|mi-X| ^2*fi</t>
  </si>
  <si>
    <t>∑</t>
  </si>
  <si>
    <t>UKURAN VARIASI</t>
  </si>
  <si>
    <t>Range</t>
  </si>
  <si>
    <t>Cara 1</t>
  </si>
  <si>
    <t>mi kls terakhir - mi kelas pertama</t>
  </si>
  <si>
    <t>Cara 2</t>
  </si>
  <si>
    <t>bt atas sbnrnya kls terakhir - bt bawah sbnrnya kls pertama</t>
  </si>
  <si>
    <t>kelas</t>
  </si>
  <si>
    <t>frek</t>
  </si>
  <si>
    <t>RS</t>
  </si>
  <si>
    <t>V</t>
  </si>
  <si>
    <t>S</t>
  </si>
  <si>
    <t>Kesimetrsian</t>
  </si>
  <si>
    <t>Kurtosis</t>
  </si>
  <si>
    <t>|mi-X| ^ 4</t>
  </si>
  <si>
    <t>|mi-X| ^4*fi</t>
  </si>
  <si>
    <t>Mo</t>
  </si>
  <si>
    <t>M4</t>
  </si>
  <si>
    <t>Me</t>
  </si>
  <si>
    <t>S4</t>
  </si>
  <si>
    <t>Ukuran Kurtosis</t>
  </si>
  <si>
    <t>fk**</t>
  </si>
  <si>
    <t>Pembuatan Histogram</t>
  </si>
  <si>
    <t>-</t>
  </si>
  <si>
    <t>ctrl+shft+ent</t>
  </si>
  <si>
    <t>cara mudah</t>
  </si>
  <si>
    <t>platikurtik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</si>
</sst>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Matura MT Script Capitals"/>
      <family val="4"/>
    </font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0" tint="-0.499984740745262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399B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0C4B3"/>
        <bgColor indexed="64"/>
      </patternFill>
    </fill>
    <fill>
      <patternFill patternType="solid">
        <fgColor rgb="FFD4EABA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32948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747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" fontId="0" fillId="0" borderId="0" xfId="0" quotePrefix="1" applyNumberFormat="1"/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left" vertical="center"/>
    </xf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left" vertical="center"/>
    </xf>
    <xf numFmtId="0" fontId="0" fillId="15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left" vertical="center"/>
    </xf>
    <xf numFmtId="0" fontId="0" fillId="17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left" vertical="center"/>
    </xf>
    <xf numFmtId="0" fontId="0" fillId="19" borderId="1" xfId="0" applyFill="1" applyBorder="1" applyAlignment="1">
      <alignment horizontal="center" vertical="center"/>
    </xf>
    <xf numFmtId="0" fontId="0" fillId="20" borderId="1" xfId="0" applyFill="1" applyBorder="1" applyAlignment="1">
      <alignment horizontal="left" vertical="center"/>
    </xf>
    <xf numFmtId="0" fontId="0" fillId="21" borderId="1" xfId="0" applyFill="1" applyBorder="1" applyAlignment="1">
      <alignment horizontal="center" vertical="center"/>
    </xf>
    <xf numFmtId="0" fontId="4" fillId="22" borderId="1" xfId="0" applyFont="1" applyFill="1" applyBorder="1" applyAlignment="1">
      <alignment horizontal="left" vertical="center"/>
    </xf>
    <xf numFmtId="0" fontId="0" fillId="23" borderId="1" xfId="0" applyFill="1" applyBorder="1" applyAlignment="1">
      <alignment horizontal="center" vertical="center"/>
    </xf>
    <xf numFmtId="0" fontId="0" fillId="22" borderId="1" xfId="0" applyFill="1" applyBorder="1" applyAlignment="1">
      <alignment horizontal="left" vertical="center"/>
    </xf>
    <xf numFmtId="0" fontId="0" fillId="25" borderId="1" xfId="0" applyFill="1" applyBorder="1" applyAlignment="1">
      <alignment horizontal="center"/>
    </xf>
    <xf numFmtId="0" fontId="6" fillId="5" borderId="1" xfId="0" applyFont="1" applyFill="1" applyBorder="1"/>
    <xf numFmtId="0" fontId="0" fillId="5" borderId="1" xfId="0" applyFill="1" applyBorder="1"/>
    <xf numFmtId="0" fontId="0" fillId="5" borderId="1" xfId="0" quotePrefix="1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0" fillId="5" borderId="1" xfId="1" applyNumberFormat="1" applyFont="1" applyFill="1" applyBorder="1"/>
    <xf numFmtId="0" fontId="7" fillId="2" borderId="0" xfId="0" applyFont="1" applyFill="1"/>
    <xf numFmtId="0" fontId="0" fillId="2" borderId="4" xfId="0" applyFill="1" applyBorder="1"/>
    <xf numFmtId="0" fontId="0" fillId="26" borderId="1" xfId="0" applyFill="1" applyBorder="1" applyAlignment="1">
      <alignment horizontal="center" vertical="center"/>
    </xf>
    <xf numFmtId="0" fontId="8" fillId="0" borderId="0" xfId="0" applyFont="1"/>
    <xf numFmtId="0" fontId="3" fillId="27" borderId="1" xfId="0" applyFont="1" applyFill="1" applyBorder="1"/>
    <xf numFmtId="0" fontId="0" fillId="26" borderId="1" xfId="0" applyFill="1" applyBorder="1" applyAlignment="1">
      <alignment horizontal="center"/>
    </xf>
    <xf numFmtId="0" fontId="0" fillId="14" borderId="1" xfId="0" applyFill="1" applyBorder="1"/>
    <xf numFmtId="0" fontId="0" fillId="1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6" borderId="1" xfId="0" applyFill="1" applyBorder="1" applyAlignment="1">
      <alignment horizontal="center"/>
    </xf>
    <xf numFmtId="0" fontId="6" fillId="23" borderId="1" xfId="0" applyFont="1" applyFill="1" applyBorder="1"/>
    <xf numFmtId="0" fontId="6" fillId="21" borderId="1" xfId="0" applyFont="1" applyFill="1" applyBorder="1"/>
    <xf numFmtId="0" fontId="0" fillId="29" borderId="1" xfId="0" applyFill="1" applyBorder="1"/>
    <xf numFmtId="0" fontId="0" fillId="23" borderId="1" xfId="0" applyFill="1" applyBorder="1"/>
    <xf numFmtId="0" fontId="0" fillId="21" borderId="1" xfId="0" applyFill="1" applyBorder="1"/>
    <xf numFmtId="0" fontId="0" fillId="2" borderId="1" xfId="0" applyFill="1" applyBorder="1" applyAlignment="1">
      <alignment horizontal="center" vertical="center"/>
    </xf>
    <xf numFmtId="0" fontId="0" fillId="30" borderId="1" xfId="0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0" fillId="32" borderId="1" xfId="0" applyFill="1" applyBorder="1" applyAlignment="1">
      <alignment horizontal="center"/>
    </xf>
    <xf numFmtId="0" fontId="0" fillId="33" borderId="1" xfId="0" applyFill="1" applyBorder="1" applyAlignment="1">
      <alignment horizontal="center"/>
    </xf>
    <xf numFmtId="0" fontId="3" fillId="27" borderId="2" xfId="0" applyFont="1" applyFill="1" applyBorder="1" applyAlignment="1">
      <alignment horizontal="center"/>
    </xf>
    <xf numFmtId="0" fontId="0" fillId="14" borderId="2" xfId="0" applyFill="1" applyBorder="1"/>
    <xf numFmtId="0" fontId="0" fillId="2" borderId="1" xfId="0" applyFill="1" applyBorder="1"/>
    <xf numFmtId="0" fontId="0" fillId="34" borderId="1" xfId="0" applyFill="1" applyBorder="1"/>
    <xf numFmtId="0" fontId="0" fillId="35" borderId="1" xfId="0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0" fontId="2" fillId="30" borderId="1" xfId="0" applyFont="1" applyFill="1" applyBorder="1" applyAlignment="1">
      <alignment horizontal="center" vertical="center"/>
    </xf>
    <xf numFmtId="0" fontId="0" fillId="30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3" fillId="24" borderId="0" xfId="0" applyFont="1" applyFill="1" applyAlignment="1">
      <alignment horizontal="center"/>
    </xf>
    <xf numFmtId="0" fontId="0" fillId="25" borderId="1" xfId="0" applyFill="1" applyBorder="1" applyAlignment="1">
      <alignment horizontal="center"/>
    </xf>
    <xf numFmtId="0" fontId="0" fillId="9" borderId="2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23" borderId="2" xfId="0" applyFill="1" applyBorder="1" applyAlignment="1">
      <alignment horizontal="center"/>
    </xf>
    <xf numFmtId="0" fontId="0" fillId="23" borderId="3" xfId="0" applyFill="1" applyBorder="1" applyAlignment="1">
      <alignment horizontal="center"/>
    </xf>
    <xf numFmtId="0" fontId="0" fillId="21" borderId="2" xfId="0" applyFill="1" applyBorder="1" applyAlignment="1">
      <alignment horizontal="center"/>
    </xf>
    <xf numFmtId="0" fontId="0" fillId="21" borderId="3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32" borderId="2" xfId="0" applyFill="1" applyBorder="1" applyAlignment="1">
      <alignment horizontal="center"/>
    </xf>
    <xf numFmtId="0" fontId="0" fillId="32" borderId="3" xfId="0" applyFill="1" applyBorder="1" applyAlignment="1">
      <alignment horizontal="center"/>
    </xf>
    <xf numFmtId="0" fontId="0" fillId="22" borderId="2" xfId="0" applyFill="1" applyBorder="1" applyAlignment="1">
      <alignment horizontal="center"/>
    </xf>
    <xf numFmtId="0" fontId="0" fillId="22" borderId="5" xfId="0" applyFill="1" applyBorder="1" applyAlignment="1">
      <alignment horizontal="center"/>
    </xf>
    <xf numFmtId="0" fontId="0" fillId="22" borderId="3" xfId="0" applyFill="1" applyBorder="1" applyAlignment="1">
      <alignment horizontal="center"/>
    </xf>
    <xf numFmtId="0" fontId="0" fillId="28" borderId="2" xfId="0" applyFill="1" applyBorder="1" applyAlignment="1">
      <alignment horizontal="center"/>
    </xf>
    <xf numFmtId="0" fontId="0" fillId="28" borderId="5" xfId="0" applyFill="1" applyBorder="1" applyAlignment="1">
      <alignment horizontal="center"/>
    </xf>
    <xf numFmtId="0" fontId="0" fillId="28" borderId="3" xfId="0" applyFill="1" applyBorder="1" applyAlignment="1">
      <alignment horizontal="center"/>
    </xf>
    <xf numFmtId="0" fontId="6" fillId="23" borderId="2" xfId="0" applyFont="1" applyFill="1" applyBorder="1" applyAlignment="1">
      <alignment horizontal="center"/>
    </xf>
    <xf numFmtId="0" fontId="6" fillId="23" borderId="3" xfId="0" applyFont="1" applyFill="1" applyBorder="1" applyAlignment="1">
      <alignment horizontal="center"/>
    </xf>
    <xf numFmtId="0" fontId="6" fillId="21" borderId="2" xfId="0" applyFont="1" applyFill="1" applyBorder="1" applyAlignment="1">
      <alignment horizontal="center"/>
    </xf>
    <xf numFmtId="0" fontId="6" fillId="21" borderId="3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Sheet1!$L$35</c:f>
              <c:strCache>
                <c:ptCount val="1"/>
                <c:pt idx="0">
                  <c:v>frek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8FC-46EA-BD90-509DDD96CAE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8FC-46EA-BD90-509DDD96CAE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8FC-46EA-BD90-509DDD96CAE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8FC-46EA-BD90-509DDD96CAE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8FC-46EA-BD90-509DDD96CAE2}"/>
              </c:ext>
            </c:extLst>
          </c:dPt>
          <c:cat>
            <c:strRef>
              <c:f>Sheet1!$K$36:$K$40</c:f>
              <c:strCache>
                <c:ptCount val="5"/>
                <c:pt idx="0">
                  <c:v>25.5-118.5</c:v>
                </c:pt>
                <c:pt idx="1">
                  <c:v>118.5-211.5</c:v>
                </c:pt>
                <c:pt idx="2">
                  <c:v>211.5-304.5</c:v>
                </c:pt>
                <c:pt idx="3">
                  <c:v>304.5-397.5</c:v>
                </c:pt>
                <c:pt idx="4">
                  <c:v>397.5-490.5</c:v>
                </c:pt>
              </c:strCache>
            </c:strRef>
          </c:cat>
          <c:val>
            <c:numRef>
              <c:f>Sheet1!$L$36:$L$40</c:f>
              <c:numCache>
                <c:formatCode>General</c:formatCode>
                <c:ptCount val="5"/>
                <c:pt idx="0">
                  <c:v>5</c:v>
                </c:pt>
                <c:pt idx="1">
                  <c:v>5</c:v>
                </c:pt>
                <c:pt idx="2">
                  <c:v>6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FC-46EA-BD90-509DDD96C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44032624"/>
        <c:axId val="144029744"/>
      </c:barChart>
      <c:catAx>
        <c:axId val="144032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29744"/>
        <c:crosses val="autoZero"/>
        <c:auto val="1"/>
        <c:lblAlgn val="ctr"/>
        <c:lblOffset val="100"/>
        <c:noMultiLvlLbl val="0"/>
      </c:catAx>
      <c:valAx>
        <c:axId val="14402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32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 /><Relationship Id="rId2" Type="http://schemas.openxmlformats.org/officeDocument/2006/relationships/image" Target="../media/image2.png" /><Relationship Id="rId1" Type="http://schemas.openxmlformats.org/officeDocument/2006/relationships/image" Target="../media/image1.png" /><Relationship Id="rId5" Type="http://schemas.openxmlformats.org/officeDocument/2006/relationships/chart" Target="../charts/chart1.xml" /><Relationship Id="rId4" Type="http://schemas.openxmlformats.org/officeDocument/2006/relationships/image" Target="../media/image4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66843</xdr:colOff>
      <xdr:row>39</xdr:row>
      <xdr:rowOff>150394</xdr:rowOff>
    </xdr:from>
    <xdr:to>
      <xdr:col>3</xdr:col>
      <xdr:colOff>264381</xdr:colOff>
      <xdr:row>42</xdr:row>
      <xdr:rowOff>91908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D68EA5-E228-480D-BC10-4C85C5D27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843" y="7357644"/>
          <a:ext cx="3029638" cy="493964"/>
        </a:xfrm>
        <a:prstGeom prst="rect">
          <a:avLst/>
        </a:prstGeom>
      </xdr:spPr>
    </xdr:pic>
    <xdr:clientData/>
  </xdr:twoCellAnchor>
  <xdr:twoCellAnchor editAs="oneCell">
    <xdr:from>
      <xdr:col>5</xdr:col>
      <xdr:colOff>133685</xdr:colOff>
      <xdr:row>39</xdr:row>
      <xdr:rowOff>8354</xdr:rowOff>
    </xdr:from>
    <xdr:to>
      <xdr:col>6</xdr:col>
      <xdr:colOff>669247</xdr:colOff>
      <xdr:row>43</xdr:row>
      <xdr:rowOff>54414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328F26-3488-41FF-BF19-3EEC74FD75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0832" r="4470" b="41016"/>
        <a:stretch/>
      </xdr:blipFill>
      <xdr:spPr>
        <a:xfrm>
          <a:off x="4578685" y="7215604"/>
          <a:ext cx="1418212" cy="782660"/>
        </a:xfrm>
        <a:prstGeom prst="rect">
          <a:avLst/>
        </a:prstGeom>
      </xdr:spPr>
    </xdr:pic>
    <xdr:clientData/>
  </xdr:twoCellAnchor>
  <xdr:twoCellAnchor editAs="oneCell">
    <xdr:from>
      <xdr:col>6</xdr:col>
      <xdr:colOff>666844</xdr:colOff>
      <xdr:row>35</xdr:row>
      <xdr:rowOff>7093</xdr:rowOff>
    </xdr:from>
    <xdr:to>
      <xdr:col>7</xdr:col>
      <xdr:colOff>814512</xdr:colOff>
      <xdr:row>39</xdr:row>
      <xdr:rowOff>124903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60D6F6-CD72-4358-A5A1-4B7DC2DAD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23566" y="6638650"/>
          <a:ext cx="1540474" cy="872621"/>
        </a:xfrm>
        <a:prstGeom prst="rect">
          <a:avLst/>
        </a:prstGeom>
      </xdr:spPr>
    </xdr:pic>
    <xdr:clientData/>
  </xdr:twoCellAnchor>
  <xdr:twoCellAnchor editAs="oneCell">
    <xdr:from>
      <xdr:col>7</xdr:col>
      <xdr:colOff>944460</xdr:colOff>
      <xdr:row>32</xdr:row>
      <xdr:rowOff>68401</xdr:rowOff>
    </xdr:from>
    <xdr:to>
      <xdr:col>9</xdr:col>
      <xdr:colOff>781202</xdr:colOff>
      <xdr:row>36</xdr:row>
      <xdr:rowOff>159892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5DD1CF0-6268-45D1-BDA5-F0E2DCA7E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32610" y="5986601"/>
          <a:ext cx="1881442" cy="828091"/>
        </a:xfrm>
        <a:prstGeom prst="rect">
          <a:avLst/>
        </a:prstGeom>
      </xdr:spPr>
    </xdr:pic>
    <xdr:clientData/>
  </xdr:twoCellAnchor>
  <xdr:twoCellAnchor>
    <xdr:from>
      <xdr:col>11</xdr:col>
      <xdr:colOff>897</xdr:colOff>
      <xdr:row>40</xdr:row>
      <xdr:rowOff>182952</xdr:rowOff>
    </xdr:from>
    <xdr:to>
      <xdr:col>16</xdr:col>
      <xdr:colOff>511294</xdr:colOff>
      <xdr:row>55</xdr:row>
      <xdr:rowOff>95610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AF75648-C2E7-6ADE-5AAE-F559F8754C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1"/>
  <sheetViews>
    <sheetView tabSelected="1" topLeftCell="J26" zoomScale="106" zoomScaleNormal="106" workbookViewId="0">
      <selection activeCell="L35" sqref="L35"/>
    </sheetView>
  </sheetViews>
  <sheetFormatPr defaultRowHeight="15" x14ac:dyDescent="0.2"/>
  <cols>
    <col min="1" max="1" width="23.13671875" bestFit="1" customWidth="1"/>
    <col min="4" max="4" width="10.35546875" customWidth="1"/>
    <col min="5" max="5" width="14.390625" bestFit="1" customWidth="1"/>
    <col min="6" max="6" width="12.5078125" bestFit="1" customWidth="1"/>
    <col min="7" max="7" width="20.84765625" customWidth="1"/>
    <col min="8" max="8" width="16.41015625" bestFit="1" customWidth="1"/>
    <col min="9" max="9" width="12.9140625" bestFit="1" customWidth="1"/>
    <col min="10" max="10" width="15.87109375" customWidth="1"/>
    <col min="11" max="11" width="10.76171875" bestFit="1" customWidth="1"/>
    <col min="12" max="12" width="9.81640625" customWidth="1"/>
    <col min="13" max="13" width="13.046875" customWidth="1"/>
    <col min="15" max="15" width="17.62109375" customWidth="1"/>
    <col min="16" max="16" width="11.43359375" customWidth="1"/>
    <col min="19" max="19" width="14.66015625" customWidth="1"/>
  </cols>
  <sheetData>
    <row r="1" spans="1:20" x14ac:dyDescent="0.2">
      <c r="A1" s="52" t="s">
        <v>0</v>
      </c>
      <c r="B1" s="53"/>
      <c r="C1" s="53"/>
      <c r="D1" s="53"/>
      <c r="E1" s="53"/>
      <c r="F1" s="1"/>
      <c r="G1" s="1"/>
      <c r="H1" s="1"/>
      <c r="I1" s="1"/>
      <c r="J1" s="1"/>
      <c r="K1" s="1"/>
      <c r="L1" s="1"/>
      <c r="M1" s="1"/>
      <c r="N1" s="2"/>
    </row>
    <row r="2" spans="1:20" x14ac:dyDescent="0.2">
      <c r="A2" s="16">
        <v>26</v>
      </c>
      <c r="B2" s="16">
        <v>214</v>
      </c>
      <c r="C2" s="16">
        <v>135</v>
      </c>
      <c r="D2" s="16">
        <v>93</v>
      </c>
      <c r="E2" s="16">
        <v>276</v>
      </c>
      <c r="F2" s="1"/>
      <c r="G2" s="1"/>
      <c r="H2" s="1"/>
      <c r="I2" s="1"/>
      <c r="J2" s="1"/>
      <c r="K2" s="1"/>
      <c r="L2" s="1"/>
      <c r="M2" s="1"/>
      <c r="N2" s="2"/>
      <c r="O2" s="3"/>
    </row>
    <row r="3" spans="1:20" x14ac:dyDescent="0.2">
      <c r="A3" s="16">
        <v>490</v>
      </c>
      <c r="B3" s="16">
        <v>114</v>
      </c>
      <c r="C3" s="16">
        <v>291</v>
      </c>
      <c r="D3" s="16">
        <v>304</v>
      </c>
      <c r="E3" s="16">
        <v>347</v>
      </c>
      <c r="F3" s="1"/>
      <c r="G3" s="1"/>
      <c r="H3" s="1"/>
      <c r="I3" s="1"/>
      <c r="J3" s="1"/>
      <c r="K3" s="1"/>
      <c r="L3" s="1"/>
      <c r="M3" s="1"/>
      <c r="N3" s="2"/>
    </row>
    <row r="4" spans="1:20" x14ac:dyDescent="0.2">
      <c r="A4" s="16">
        <v>243</v>
      </c>
      <c r="B4" s="16">
        <v>411</v>
      </c>
      <c r="C4" s="16">
        <v>157</v>
      </c>
      <c r="D4" s="16">
        <v>88</v>
      </c>
      <c r="E4" s="16">
        <v>36</v>
      </c>
      <c r="F4" s="1"/>
      <c r="G4" s="1"/>
      <c r="H4" s="1"/>
      <c r="I4" s="1"/>
      <c r="J4" s="1"/>
      <c r="K4" s="1"/>
      <c r="L4" s="1"/>
      <c r="M4" s="1"/>
      <c r="N4" s="2"/>
    </row>
    <row r="5" spans="1:20" x14ac:dyDescent="0.2">
      <c r="A5" s="16">
        <v>372</v>
      </c>
      <c r="B5" s="16">
        <v>181</v>
      </c>
      <c r="C5" s="16">
        <v>266</v>
      </c>
      <c r="D5" s="16">
        <v>195</v>
      </c>
      <c r="E5" s="16">
        <v>141</v>
      </c>
      <c r="F5" s="1"/>
      <c r="G5" s="1"/>
      <c r="H5" s="1" t="s">
        <v>1</v>
      </c>
      <c r="I5" s="1"/>
      <c r="J5" s="1"/>
      <c r="K5" s="1"/>
      <c r="L5" s="1"/>
      <c r="M5" s="1"/>
      <c r="N5" s="2"/>
    </row>
    <row r="6" spans="1:20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"/>
    </row>
    <row r="7" spans="1:20" x14ac:dyDescent="0.2">
      <c r="A7" s="42" t="s">
        <v>2</v>
      </c>
      <c r="B7" s="4">
        <f>COUNT(A2:E5)</f>
        <v>20</v>
      </c>
      <c r="C7" s="1"/>
      <c r="D7" s="1"/>
      <c r="E7" s="5"/>
      <c r="F7" s="5" t="s">
        <v>3</v>
      </c>
      <c r="G7" s="5" t="s">
        <v>4</v>
      </c>
      <c r="H7" s="5" t="s">
        <v>5</v>
      </c>
      <c r="I7" s="5" t="s">
        <v>6</v>
      </c>
      <c r="J7" s="5" t="s">
        <v>78</v>
      </c>
      <c r="K7" s="5" t="s">
        <v>7</v>
      </c>
      <c r="L7" s="5" t="s">
        <v>8</v>
      </c>
      <c r="M7" s="5" t="s">
        <v>9</v>
      </c>
      <c r="N7" s="5" t="s">
        <v>10</v>
      </c>
    </row>
    <row r="8" spans="1:20" x14ac:dyDescent="0.2">
      <c r="A8" s="42" t="s">
        <v>11</v>
      </c>
      <c r="B8" s="4">
        <f>MAX(A2:E5)</f>
        <v>490</v>
      </c>
      <c r="C8" s="1"/>
      <c r="D8" s="1"/>
      <c r="E8" s="5">
        <v>1</v>
      </c>
      <c r="F8" s="6">
        <f>B9</f>
        <v>26</v>
      </c>
      <c r="G8" s="6">
        <f>F8+C12-1</f>
        <v>118</v>
      </c>
      <c r="H8" s="6">
        <f t="array" ref="H8:H12">FREQUENCY(A2:E5,G8:G12)</f>
        <v>5</v>
      </c>
      <c r="I8" s="6">
        <f>H8</f>
        <v>5</v>
      </c>
      <c r="J8" s="6">
        <f>I12</f>
        <v>20</v>
      </c>
      <c r="K8" s="6">
        <f>1/2*(F8+G8)</f>
        <v>72</v>
      </c>
      <c r="L8" s="6">
        <f>K8*H8</f>
        <v>360</v>
      </c>
      <c r="M8" s="6">
        <v>-2</v>
      </c>
      <c r="N8" s="6">
        <f>M8*H8</f>
        <v>-10</v>
      </c>
    </row>
    <row r="9" spans="1:20" x14ac:dyDescent="0.2">
      <c r="A9" s="42" t="s">
        <v>12</v>
      </c>
      <c r="B9" s="4">
        <f>MIN(A2:E5)</f>
        <v>26</v>
      </c>
      <c r="C9" s="1"/>
      <c r="D9" s="1"/>
      <c r="E9" s="5">
        <v>2</v>
      </c>
      <c r="F9" s="6">
        <f>G8+1</f>
        <v>119</v>
      </c>
      <c r="G9" s="6">
        <f>F9+$C$12-1</f>
        <v>211</v>
      </c>
      <c r="H9" s="6">
        <v>5</v>
      </c>
      <c r="I9" s="6">
        <f>I8+H9</f>
        <v>10</v>
      </c>
      <c r="J9" s="6">
        <f>J8-H8</f>
        <v>15</v>
      </c>
      <c r="K9" s="6">
        <f t="shared" ref="K9:K12" si="0">1/2*(F9+G9)</f>
        <v>165</v>
      </c>
      <c r="L9" s="6">
        <f t="shared" ref="L9:L12" si="1">K9*H9</f>
        <v>825</v>
      </c>
      <c r="M9" s="6">
        <v>-1</v>
      </c>
      <c r="N9" s="6">
        <f t="shared" ref="N9:N12" si="2">M9*H9</f>
        <v>-5</v>
      </c>
    </row>
    <row r="10" spans="1:20" x14ac:dyDescent="0.2">
      <c r="A10" s="42" t="s">
        <v>13</v>
      </c>
      <c r="B10" s="4">
        <f>B8-B9</f>
        <v>464</v>
      </c>
      <c r="C10" s="1"/>
      <c r="D10" s="1"/>
      <c r="E10" s="5">
        <v>3</v>
      </c>
      <c r="F10" s="6">
        <f t="shared" ref="F10:F12" si="3">G9+1</f>
        <v>212</v>
      </c>
      <c r="G10" s="6">
        <f t="shared" ref="G10:G12" si="4">F10+$C$12-1</f>
        <v>304</v>
      </c>
      <c r="H10" s="6">
        <v>6</v>
      </c>
      <c r="I10" s="6">
        <f t="shared" ref="I10:I12" si="5">I9+H10</f>
        <v>16</v>
      </c>
      <c r="J10" s="6">
        <f t="shared" ref="J10:J12" si="6">J9-H9</f>
        <v>10</v>
      </c>
      <c r="K10" s="6">
        <f t="shared" si="0"/>
        <v>258</v>
      </c>
      <c r="L10" s="6">
        <f t="shared" si="1"/>
        <v>1548</v>
      </c>
      <c r="M10" s="43">
        <v>0</v>
      </c>
      <c r="N10" s="6">
        <f t="shared" si="2"/>
        <v>0</v>
      </c>
    </row>
    <row r="11" spans="1:20" x14ac:dyDescent="0.2">
      <c r="A11" s="42" t="s">
        <v>14</v>
      </c>
      <c r="B11" s="4">
        <f>1+(3.3*LOG(B7))</f>
        <v>5.2933989856911383</v>
      </c>
      <c r="C11" s="4">
        <f>ROUND(B11,0)</f>
        <v>5</v>
      </c>
      <c r="D11" s="1"/>
      <c r="E11" s="5">
        <v>4</v>
      </c>
      <c r="F11" s="6">
        <f t="shared" si="3"/>
        <v>305</v>
      </c>
      <c r="G11" s="6">
        <f t="shared" si="4"/>
        <v>397</v>
      </c>
      <c r="H11" s="6">
        <v>2</v>
      </c>
      <c r="I11" s="6">
        <f t="shared" si="5"/>
        <v>18</v>
      </c>
      <c r="J11" s="6">
        <f t="shared" si="6"/>
        <v>4</v>
      </c>
      <c r="K11" s="6">
        <f t="shared" si="0"/>
        <v>351</v>
      </c>
      <c r="L11" s="6">
        <f t="shared" si="1"/>
        <v>702</v>
      </c>
      <c r="M11" s="6">
        <v>1</v>
      </c>
      <c r="N11" s="6">
        <f t="shared" si="2"/>
        <v>2</v>
      </c>
    </row>
    <row r="12" spans="1:20" x14ac:dyDescent="0.2">
      <c r="A12" s="42" t="s">
        <v>15</v>
      </c>
      <c r="B12" s="4">
        <f>B10/C11</f>
        <v>92.8</v>
      </c>
      <c r="C12" s="4">
        <f>ROUNDUP(B12,0)</f>
        <v>93</v>
      </c>
      <c r="D12" s="1"/>
      <c r="E12" s="5">
        <v>5</v>
      </c>
      <c r="F12" s="6">
        <f t="shared" si="3"/>
        <v>398</v>
      </c>
      <c r="G12" s="6">
        <f t="shared" si="4"/>
        <v>490</v>
      </c>
      <c r="H12" s="6">
        <v>2</v>
      </c>
      <c r="I12" s="6">
        <f t="shared" si="5"/>
        <v>20</v>
      </c>
      <c r="J12" s="6">
        <f t="shared" si="6"/>
        <v>2</v>
      </c>
      <c r="K12" s="6">
        <f t="shared" si="0"/>
        <v>444</v>
      </c>
      <c r="L12" s="6">
        <f t="shared" si="1"/>
        <v>888</v>
      </c>
      <c r="M12" s="6">
        <v>2</v>
      </c>
      <c r="N12" s="6">
        <f t="shared" si="2"/>
        <v>4</v>
      </c>
    </row>
    <row r="13" spans="1:20" x14ac:dyDescent="0.2">
      <c r="A13" s="1"/>
      <c r="B13" s="1"/>
      <c r="C13" s="1"/>
      <c r="D13" s="1"/>
      <c r="E13" s="1"/>
      <c r="F13" s="1"/>
      <c r="G13" s="1"/>
      <c r="H13" s="41">
        <f>SUM(H8:H12)</f>
        <v>20</v>
      </c>
      <c r="I13" s="1"/>
      <c r="K13" s="41">
        <f>SUM(K8:K12)</f>
        <v>1290</v>
      </c>
      <c r="L13" s="41">
        <f>SUM(L8:L12)</f>
        <v>4323</v>
      </c>
      <c r="M13" s="1"/>
      <c r="N13" s="41">
        <f>SUM(N8:N12)</f>
        <v>-9</v>
      </c>
    </row>
    <row r="14" spans="1:20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2"/>
    </row>
    <row r="15" spans="1:20" x14ac:dyDescent="0.2">
      <c r="A15" s="1"/>
      <c r="B15" s="54" t="s">
        <v>16</v>
      </c>
      <c r="C15" s="54"/>
      <c r="D15" s="54"/>
      <c r="E15" s="54"/>
      <c r="F15" s="1"/>
      <c r="G15" s="55" t="s">
        <v>17</v>
      </c>
      <c r="H15" s="56"/>
      <c r="I15" s="1"/>
      <c r="J15" s="57" t="s">
        <v>18</v>
      </c>
      <c r="K15" s="57"/>
      <c r="L15" s="1"/>
      <c r="M15" s="64" t="s">
        <v>19</v>
      </c>
      <c r="N15" s="65"/>
      <c r="P15" s="66" t="s">
        <v>20</v>
      </c>
      <c r="Q15" s="67"/>
      <c r="S15" s="58" t="s">
        <v>21</v>
      </c>
      <c r="T15" s="59"/>
    </row>
    <row r="16" spans="1:20" x14ac:dyDescent="0.2">
      <c r="A16" s="1"/>
      <c r="B16" s="60" t="s">
        <v>22</v>
      </c>
      <c r="C16" s="61"/>
      <c r="D16" s="60" t="s">
        <v>23</v>
      </c>
      <c r="E16" s="61"/>
      <c r="F16" s="1"/>
      <c r="G16" s="7" t="s">
        <v>24</v>
      </c>
      <c r="H16" s="8">
        <f>H13/2</f>
        <v>10</v>
      </c>
      <c r="I16" s="1"/>
      <c r="J16" s="9" t="s">
        <v>25</v>
      </c>
      <c r="K16" s="10">
        <f>F10-0.5</f>
        <v>211.5</v>
      </c>
      <c r="L16" s="1"/>
      <c r="M16" s="11" t="s">
        <v>26</v>
      </c>
      <c r="N16" s="12">
        <v>2</v>
      </c>
      <c r="P16" s="13" t="s">
        <v>26</v>
      </c>
      <c r="Q16" s="14">
        <v>7</v>
      </c>
      <c r="S16" s="15" t="s">
        <v>26</v>
      </c>
      <c r="T16" s="16">
        <v>95</v>
      </c>
    </row>
    <row r="17" spans="1:26" ht="17.25" x14ac:dyDescent="0.2">
      <c r="A17" s="1"/>
      <c r="B17" s="17" t="s">
        <v>27</v>
      </c>
      <c r="C17" s="18">
        <f>L13</f>
        <v>4323</v>
      </c>
      <c r="D17" s="19" t="s">
        <v>28</v>
      </c>
      <c r="E17" s="18">
        <f>K10</f>
        <v>258</v>
      </c>
      <c r="F17" s="1"/>
      <c r="G17" s="7" t="s">
        <v>25</v>
      </c>
      <c r="H17" s="8">
        <f>F9-0.5</f>
        <v>118.5</v>
      </c>
      <c r="I17" s="1"/>
      <c r="J17" s="9" t="s">
        <v>29</v>
      </c>
      <c r="K17" s="10">
        <f>H10-H9</f>
        <v>1</v>
      </c>
      <c r="L17" s="1"/>
      <c r="M17" s="11" t="s">
        <v>30</v>
      </c>
      <c r="N17" s="12">
        <f>H13</f>
        <v>20</v>
      </c>
      <c r="P17" s="13" t="s">
        <v>30</v>
      </c>
      <c r="Q17" s="14">
        <f>N17</f>
        <v>20</v>
      </c>
      <c r="S17" s="15" t="s">
        <v>30</v>
      </c>
      <c r="T17" s="16">
        <f>Q17</f>
        <v>20</v>
      </c>
    </row>
    <row r="18" spans="1:26" x14ac:dyDescent="0.2">
      <c r="A18" s="1"/>
      <c r="B18" s="19" t="s">
        <v>31</v>
      </c>
      <c r="C18" s="18">
        <f>H13</f>
        <v>20</v>
      </c>
      <c r="D18" s="19" t="s">
        <v>32</v>
      </c>
      <c r="E18" s="18">
        <f>N13/H13</f>
        <v>-0.45</v>
      </c>
      <c r="F18" s="1"/>
      <c r="G18" s="7" t="s">
        <v>6</v>
      </c>
      <c r="H18" s="8">
        <f>I8</f>
        <v>5</v>
      </c>
      <c r="I18" s="1"/>
      <c r="J18" s="9" t="s">
        <v>33</v>
      </c>
      <c r="K18" s="10">
        <f>H10-H11</f>
        <v>4</v>
      </c>
      <c r="L18" s="1"/>
      <c r="M18" s="11" t="s">
        <v>34</v>
      </c>
      <c r="N18" s="12">
        <f>(N16*N17)/4</f>
        <v>10</v>
      </c>
      <c r="P18" s="13" t="s">
        <v>35</v>
      </c>
      <c r="Q18" s="14">
        <f>(Q17*Q16)/10</f>
        <v>14</v>
      </c>
      <c r="S18" s="15" t="s">
        <v>36</v>
      </c>
      <c r="T18" s="16">
        <f>(T17*T16)/100</f>
        <v>19</v>
      </c>
    </row>
    <row r="19" spans="1:26" x14ac:dyDescent="0.2">
      <c r="A19" s="1"/>
      <c r="B19" s="19"/>
      <c r="C19" s="18"/>
      <c r="D19" s="19" t="s">
        <v>37</v>
      </c>
      <c r="E19" s="18">
        <f>C12</f>
        <v>93</v>
      </c>
      <c r="F19" s="1"/>
      <c r="G19" s="7" t="s">
        <v>38</v>
      </c>
      <c r="H19" s="8">
        <f>H9</f>
        <v>5</v>
      </c>
      <c r="I19" s="1"/>
      <c r="J19" s="9" t="s">
        <v>37</v>
      </c>
      <c r="K19" s="10">
        <f>H20</f>
        <v>93</v>
      </c>
      <c r="L19" s="1"/>
      <c r="M19" s="11" t="s">
        <v>39</v>
      </c>
      <c r="N19" s="12">
        <f>F9-0.5</f>
        <v>118.5</v>
      </c>
      <c r="P19" s="13" t="s">
        <v>39</v>
      </c>
      <c r="Q19" s="14">
        <f>F10-0.5</f>
        <v>211.5</v>
      </c>
      <c r="S19" s="15" t="s">
        <v>39</v>
      </c>
      <c r="T19" s="16">
        <f>F12-0.5</f>
        <v>397.5</v>
      </c>
    </row>
    <row r="20" spans="1:26" x14ac:dyDescent="0.2">
      <c r="A20" s="1"/>
      <c r="B20" s="19" t="s">
        <v>40</v>
      </c>
      <c r="C20" s="50">
        <f>C17/C18</f>
        <v>216.15</v>
      </c>
      <c r="D20" s="19" t="s">
        <v>40</v>
      </c>
      <c r="E20" s="18">
        <f>E17+E19*E18</f>
        <v>216.15</v>
      </c>
      <c r="F20" s="1"/>
      <c r="G20" s="7" t="s">
        <v>37</v>
      </c>
      <c r="H20" s="8">
        <f>C12</f>
        <v>93</v>
      </c>
      <c r="I20" s="1"/>
      <c r="J20" s="9" t="s">
        <v>41</v>
      </c>
      <c r="K20" s="50">
        <f>K16+(K17/(K17+K18))*K19</f>
        <v>230.1</v>
      </c>
      <c r="L20" s="1"/>
      <c r="M20" s="11" t="s">
        <v>42</v>
      </c>
      <c r="N20" s="12">
        <f>I8</f>
        <v>5</v>
      </c>
      <c r="P20" s="13" t="s">
        <v>42</v>
      </c>
      <c r="Q20" s="14">
        <f>I9</f>
        <v>10</v>
      </c>
      <c r="S20" s="15" t="s">
        <v>42</v>
      </c>
      <c r="T20" s="16">
        <f>I11</f>
        <v>18</v>
      </c>
    </row>
    <row r="21" spans="1:26" x14ac:dyDescent="0.2">
      <c r="A21" s="1"/>
      <c r="B21" s="1"/>
      <c r="C21" s="1"/>
      <c r="D21" s="1"/>
      <c r="E21" s="1"/>
      <c r="F21" s="1"/>
      <c r="G21" s="7" t="s">
        <v>43</v>
      </c>
      <c r="H21" s="50">
        <f>H17+((H16-H18)/H19)*H20</f>
        <v>211.5</v>
      </c>
      <c r="I21" s="1"/>
      <c r="J21" s="1"/>
      <c r="K21" s="1"/>
      <c r="L21" s="1"/>
      <c r="M21" s="11" t="s">
        <v>44</v>
      </c>
      <c r="N21" s="12">
        <f>H9</f>
        <v>5</v>
      </c>
      <c r="P21" s="13" t="s">
        <v>45</v>
      </c>
      <c r="Q21" s="14">
        <f>H10</f>
        <v>6</v>
      </c>
      <c r="S21" s="15" t="s">
        <v>46</v>
      </c>
      <c r="T21" s="16">
        <f>H12</f>
        <v>2</v>
      </c>
    </row>
    <row r="22" spans="1:26" x14ac:dyDescent="0.2">
      <c r="M22" s="11" t="s">
        <v>37</v>
      </c>
      <c r="N22" s="12">
        <f>K19</f>
        <v>93</v>
      </c>
      <c r="P22" s="13" t="s">
        <v>37</v>
      </c>
      <c r="Q22" s="14">
        <f>N22</f>
        <v>93</v>
      </c>
      <c r="S22" s="15" t="s">
        <v>37</v>
      </c>
      <c r="T22" s="16">
        <f>Q22</f>
        <v>93</v>
      </c>
    </row>
    <row r="23" spans="1:26" x14ac:dyDescent="0.2">
      <c r="M23" s="11" t="s">
        <v>47</v>
      </c>
      <c r="N23" s="12">
        <f>N19+((N18-N20)/N21)*N22</f>
        <v>211.5</v>
      </c>
      <c r="P23" s="13" t="s">
        <v>48</v>
      </c>
      <c r="Q23" s="14">
        <f>Q19+((Q18-Q20)/Q21)*Q22</f>
        <v>273.5</v>
      </c>
      <c r="S23" s="15" t="s">
        <v>49</v>
      </c>
      <c r="T23" s="16">
        <f>T19+((T18-T20)/T21)*T22</f>
        <v>444</v>
      </c>
    </row>
    <row r="24" spans="1:26" x14ac:dyDescent="0.2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spans="1:26" x14ac:dyDescent="0.2">
      <c r="A25" s="20" t="s">
        <v>50</v>
      </c>
      <c r="B25" s="63" t="s">
        <v>51</v>
      </c>
      <c r="C25" s="63"/>
      <c r="D25" s="63"/>
      <c r="E25" s="20" t="s">
        <v>52</v>
      </c>
      <c r="F25" s="20" t="s">
        <v>53</v>
      </c>
      <c r="G25" s="20" t="s">
        <v>54</v>
      </c>
      <c r="H25" s="20" t="s">
        <v>55</v>
      </c>
      <c r="I25" s="20" t="s">
        <v>56</v>
      </c>
    </row>
    <row r="26" spans="1:26" x14ac:dyDescent="0.2">
      <c r="A26" s="21">
        <v>1</v>
      </c>
      <c r="B26" s="22">
        <f>F8-0.5</f>
        <v>25.5</v>
      </c>
      <c r="C26" s="23" t="s">
        <v>80</v>
      </c>
      <c r="D26" s="24">
        <f>G8+0.5</f>
        <v>118.5</v>
      </c>
      <c r="E26" s="22">
        <f>K8-$C$20</f>
        <v>-144.15</v>
      </c>
      <c r="F26" s="25">
        <f>ABS(E26)</f>
        <v>144.15</v>
      </c>
      <c r="G26" s="22">
        <f>F26*H8</f>
        <v>720.75</v>
      </c>
      <c r="H26" s="22">
        <f>E26^2</f>
        <v>20779.2225</v>
      </c>
      <c r="I26" s="22">
        <f>H26*H8</f>
        <v>103896.1125</v>
      </c>
    </row>
    <row r="27" spans="1:26" x14ac:dyDescent="0.2">
      <c r="A27" s="21">
        <v>2</v>
      </c>
      <c r="B27" s="22">
        <f t="shared" ref="B27:B30" si="7">F9-0.5</f>
        <v>118.5</v>
      </c>
      <c r="C27" s="23" t="s">
        <v>80</v>
      </c>
      <c r="D27" s="24">
        <f t="shared" ref="D27:D30" si="8">G9+0.5</f>
        <v>211.5</v>
      </c>
      <c r="E27" s="22">
        <f t="shared" ref="E27:E30" si="9">K9-$C$20</f>
        <v>-51.150000000000006</v>
      </c>
      <c r="F27" s="25">
        <f t="shared" ref="F27:F30" si="10">ABS(E27)</f>
        <v>51.150000000000006</v>
      </c>
      <c r="G27" s="22">
        <f t="shared" ref="G27:G30" si="11">F27*H9</f>
        <v>255.75000000000003</v>
      </c>
      <c r="H27" s="22">
        <f t="shared" ref="H27:H30" si="12">E27^2</f>
        <v>2616.3225000000007</v>
      </c>
      <c r="I27" s="22">
        <f t="shared" ref="I27:I30" si="13">H27*H9</f>
        <v>13081.612500000003</v>
      </c>
    </row>
    <row r="28" spans="1:26" x14ac:dyDescent="0.2">
      <c r="A28" s="21">
        <v>3</v>
      </c>
      <c r="B28" s="22">
        <f t="shared" si="7"/>
        <v>211.5</v>
      </c>
      <c r="C28" s="23" t="s">
        <v>80</v>
      </c>
      <c r="D28" s="24">
        <f t="shared" si="8"/>
        <v>304.5</v>
      </c>
      <c r="E28" s="22">
        <f t="shared" si="9"/>
        <v>41.849999999999994</v>
      </c>
      <c r="F28" s="25">
        <f t="shared" si="10"/>
        <v>41.849999999999994</v>
      </c>
      <c r="G28" s="22">
        <f t="shared" si="11"/>
        <v>251.09999999999997</v>
      </c>
      <c r="H28" s="22">
        <f t="shared" si="12"/>
        <v>1751.4224999999994</v>
      </c>
      <c r="I28" s="22">
        <f t="shared" si="13"/>
        <v>10508.534999999996</v>
      </c>
    </row>
    <row r="29" spans="1:26" x14ac:dyDescent="0.2">
      <c r="A29" s="21">
        <v>4</v>
      </c>
      <c r="B29" s="22">
        <f t="shared" si="7"/>
        <v>304.5</v>
      </c>
      <c r="C29" s="23" t="s">
        <v>80</v>
      </c>
      <c r="D29" s="24">
        <f t="shared" si="8"/>
        <v>397.5</v>
      </c>
      <c r="E29" s="22">
        <f t="shared" si="9"/>
        <v>134.85</v>
      </c>
      <c r="F29" s="25">
        <f t="shared" si="10"/>
        <v>134.85</v>
      </c>
      <c r="G29" s="22">
        <f t="shared" si="11"/>
        <v>269.7</v>
      </c>
      <c r="H29" s="22">
        <f t="shared" si="12"/>
        <v>18184.522499999999</v>
      </c>
      <c r="I29" s="22">
        <f t="shared" si="13"/>
        <v>36369.044999999998</v>
      </c>
    </row>
    <row r="30" spans="1:26" x14ac:dyDescent="0.2">
      <c r="A30" s="21">
        <v>5</v>
      </c>
      <c r="B30" s="22">
        <f t="shared" si="7"/>
        <v>397.5</v>
      </c>
      <c r="C30" s="23" t="s">
        <v>80</v>
      </c>
      <c r="D30" s="24">
        <f t="shared" si="8"/>
        <v>490.5</v>
      </c>
      <c r="E30" s="22">
        <f t="shared" si="9"/>
        <v>227.85</v>
      </c>
      <c r="F30" s="25">
        <f t="shared" si="10"/>
        <v>227.85</v>
      </c>
      <c r="G30" s="22">
        <f t="shared" si="11"/>
        <v>455.7</v>
      </c>
      <c r="H30" s="22">
        <f t="shared" si="12"/>
        <v>51915.622499999998</v>
      </c>
      <c r="I30" s="22">
        <f t="shared" si="13"/>
        <v>103831.245</v>
      </c>
    </row>
    <row r="31" spans="1:26" x14ac:dyDescent="0.2">
      <c r="A31" s="26" t="s">
        <v>57</v>
      </c>
      <c r="G31" s="27">
        <f>SUM(G26:G30)</f>
        <v>1953</v>
      </c>
      <c r="I31" s="27">
        <f>SUM(I26:I30)</f>
        <v>267686.55</v>
      </c>
    </row>
    <row r="33" spans="1:13" x14ac:dyDescent="0.2">
      <c r="A33" s="51" t="s">
        <v>58</v>
      </c>
      <c r="B33" s="51"/>
      <c r="C33" s="51"/>
      <c r="K33" t="s">
        <v>81</v>
      </c>
    </row>
    <row r="34" spans="1:13" x14ac:dyDescent="0.2">
      <c r="A34" s="28" t="s">
        <v>59</v>
      </c>
      <c r="B34" s="45" t="s">
        <v>60</v>
      </c>
      <c r="C34" s="44">
        <f>K12-K8</f>
        <v>372</v>
      </c>
      <c r="D34" s="29" t="s">
        <v>61</v>
      </c>
      <c r="K34" s="72" t="s">
        <v>79</v>
      </c>
      <c r="L34" s="72"/>
      <c r="M34" s="49" t="s">
        <v>82</v>
      </c>
    </row>
    <row r="35" spans="1:13" x14ac:dyDescent="0.2">
      <c r="A35" s="28"/>
      <c r="B35" s="45" t="s">
        <v>62</v>
      </c>
      <c r="C35" s="44">
        <f>D30-B26</f>
        <v>465</v>
      </c>
      <c r="D35" s="29" t="s">
        <v>63</v>
      </c>
      <c r="K35" s="30" t="s">
        <v>64</v>
      </c>
      <c r="L35" s="46" t="s">
        <v>65</v>
      </c>
      <c r="M35" s="48"/>
    </row>
    <row r="36" spans="1:13" x14ac:dyDescent="0.2">
      <c r="A36" s="31" t="s">
        <v>66</v>
      </c>
      <c r="B36" s="73">
        <f>1/E38*G31</f>
        <v>97.65</v>
      </c>
      <c r="C36" s="74"/>
      <c r="K36" s="32" t="str">
        <f t="array" ref="K36:K40">CONCATENATE(B26:B30,C26:C30,D26:D30)</f>
        <v>25.5-118.5</v>
      </c>
      <c r="L36" s="47">
        <f>H8</f>
        <v>5</v>
      </c>
      <c r="M36" s="48" t="str">
        <f>B26&amp;C26&amp;D26</f>
        <v>25.5-118.5</v>
      </c>
    </row>
    <row r="37" spans="1:13" x14ac:dyDescent="0.2">
      <c r="A37" s="31" t="s">
        <v>67</v>
      </c>
      <c r="B37" s="73">
        <f>1/E38*I31</f>
        <v>13384.327499999999</v>
      </c>
      <c r="C37" s="74"/>
      <c r="E37" s="33" t="s">
        <v>30</v>
      </c>
      <c r="K37" s="32" t="str">
        <v>118.5-211.5</v>
      </c>
      <c r="L37" s="47">
        <f t="shared" ref="L37:L40" si="14">H9</f>
        <v>5</v>
      </c>
      <c r="M37" s="48" t="str">
        <f t="shared" ref="M37:M40" si="15">B27&amp;C27&amp;D27</f>
        <v>118.5-211.5</v>
      </c>
    </row>
    <row r="38" spans="1:13" x14ac:dyDescent="0.2">
      <c r="A38" s="31" t="s">
        <v>68</v>
      </c>
      <c r="B38" s="73">
        <f>SQRT(B37)</f>
        <v>115.69065433300997</v>
      </c>
      <c r="C38" s="74"/>
      <c r="E38" s="34">
        <f>Q17</f>
        <v>20</v>
      </c>
      <c r="K38" s="32" t="str">
        <v>211.5-304.5</v>
      </c>
      <c r="L38" s="47">
        <f t="shared" si="14"/>
        <v>6</v>
      </c>
      <c r="M38" s="48" t="str">
        <f t="shared" si="15"/>
        <v>211.5-304.5</v>
      </c>
    </row>
    <row r="39" spans="1:13" x14ac:dyDescent="0.2">
      <c r="K39" s="32" t="str">
        <v>304.5-397.5</v>
      </c>
      <c r="L39" s="47">
        <f t="shared" si="14"/>
        <v>2</v>
      </c>
      <c r="M39" s="48" t="str">
        <f t="shared" si="15"/>
        <v>304.5-397.5</v>
      </c>
    </row>
    <row r="40" spans="1:13" x14ac:dyDescent="0.2">
      <c r="K40" s="32" t="str">
        <v>397.5-490.5</v>
      </c>
      <c r="L40" s="47">
        <f t="shared" si="14"/>
        <v>2</v>
      </c>
      <c r="M40" s="48" t="str">
        <f t="shared" si="15"/>
        <v>397.5-490.5</v>
      </c>
    </row>
    <row r="45" spans="1:13" x14ac:dyDescent="0.2">
      <c r="A45" s="75" t="s">
        <v>69</v>
      </c>
      <c r="B45" s="76"/>
      <c r="C45" s="77"/>
      <c r="E45" s="78" t="s">
        <v>70</v>
      </c>
      <c r="F45" s="79"/>
      <c r="G45" s="80"/>
      <c r="I45" s="35" t="s">
        <v>71</v>
      </c>
      <c r="J45" s="35" t="s">
        <v>72</v>
      </c>
    </row>
    <row r="46" spans="1:13" x14ac:dyDescent="0.2">
      <c r="A46" s="36" t="s">
        <v>73</v>
      </c>
      <c r="B46" s="81">
        <f>(C20-K20)/B38</f>
        <v>-0.12058018065872102</v>
      </c>
      <c r="C46" s="82"/>
      <c r="E46" s="37" t="s">
        <v>74</v>
      </c>
      <c r="F46" s="83">
        <f>1/B7*(J51)</f>
        <v>413166423.82573128</v>
      </c>
      <c r="G46" s="84"/>
      <c r="I46" s="38">
        <f>F26^4</f>
        <v>431776087.70450622</v>
      </c>
      <c r="J46" s="38">
        <f>I46*H8</f>
        <v>2158880438.522531</v>
      </c>
    </row>
    <row r="47" spans="1:13" x14ac:dyDescent="0.2">
      <c r="A47" s="39" t="s">
        <v>75</v>
      </c>
      <c r="B47" s="68">
        <f>3*(C20-H21)/B38</f>
        <v>0.12058018065872127</v>
      </c>
      <c r="C47" s="69"/>
      <c r="E47" s="40" t="s">
        <v>76</v>
      </c>
      <c r="F47" s="70">
        <f>B38^4</f>
        <v>179140222.62725624</v>
      </c>
      <c r="G47" s="71"/>
      <c r="I47" s="38">
        <f t="shared" ref="I47:I50" si="16">F27^4</f>
        <v>6845143.4240062535</v>
      </c>
      <c r="J47" s="38">
        <f t="shared" ref="J47:J50" si="17">I47*H9</f>
        <v>34225717.120031267</v>
      </c>
    </row>
    <row r="48" spans="1:13" x14ac:dyDescent="0.2">
      <c r="E48" s="40" t="s">
        <v>77</v>
      </c>
      <c r="F48" s="70">
        <f>F46/F47</f>
        <v>2.3063855663807122</v>
      </c>
      <c r="G48" s="71"/>
      <c r="I48" s="38">
        <f t="shared" si="16"/>
        <v>3067480.7735062479</v>
      </c>
      <c r="J48" s="38">
        <f t="shared" si="17"/>
        <v>18404884.641037486</v>
      </c>
    </row>
    <row r="49" spans="7:10" x14ac:dyDescent="0.2">
      <c r="G49" t="s">
        <v>83</v>
      </c>
      <c r="I49" s="38">
        <f t="shared" si="16"/>
        <v>330676858.55300623</v>
      </c>
      <c r="J49" s="38">
        <f t="shared" si="17"/>
        <v>661353717.10601246</v>
      </c>
    </row>
    <row r="50" spans="7:10" x14ac:dyDescent="0.2">
      <c r="I50" s="38">
        <f t="shared" si="16"/>
        <v>2695231859.5625062</v>
      </c>
      <c r="J50" s="38">
        <f t="shared" si="17"/>
        <v>5390463719.1250124</v>
      </c>
    </row>
    <row r="51" spans="7:10" x14ac:dyDescent="0.2">
      <c r="I51" s="26">
        <f>SUM(I46:I50)</f>
        <v>3467597430.0175314</v>
      </c>
      <c r="J51" s="27">
        <f>SUM(J46:J50)</f>
        <v>8263328476.5146246</v>
      </c>
    </row>
  </sheetData>
  <mergeCells count="23">
    <mergeCell ref="B47:C47"/>
    <mergeCell ref="F47:G47"/>
    <mergeCell ref="F48:G48"/>
    <mergeCell ref="K34:L34"/>
    <mergeCell ref="B36:C36"/>
    <mergeCell ref="B37:C37"/>
    <mergeCell ref="B38:C38"/>
    <mergeCell ref="A45:C45"/>
    <mergeCell ref="E45:G45"/>
    <mergeCell ref="B46:C46"/>
    <mergeCell ref="F46:G46"/>
    <mergeCell ref="S15:T15"/>
    <mergeCell ref="B16:C16"/>
    <mergeCell ref="D16:E16"/>
    <mergeCell ref="A24:Z24"/>
    <mergeCell ref="B25:D25"/>
    <mergeCell ref="M15:N15"/>
    <mergeCell ref="P15:Q15"/>
    <mergeCell ref="A33:C33"/>
    <mergeCell ref="A1:E1"/>
    <mergeCell ref="B15:E15"/>
    <mergeCell ref="G15:H15"/>
    <mergeCell ref="J15:K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DISTYARA PUTRI MAULANA</dc:creator>
  <cp:lastModifiedBy>PRAKTIKAN</cp:lastModifiedBy>
  <dcterms:created xsi:type="dcterms:W3CDTF">2026-04-09T00:42:12Z</dcterms:created>
  <dcterms:modified xsi:type="dcterms:W3CDTF">2026-04-23T02:16:42Z</dcterms:modified>
</cp:coreProperties>
</file>